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5945" windowHeight="12300"/>
  </bookViews>
  <sheets>
    <sheet name="Diseño" sheetId="22" r:id="rId1"/>
    <sheet name="Tablas1" sheetId="2" r:id="rId2"/>
    <sheet name="Tablas2" sheetId="17" r:id="rId3"/>
    <sheet name="Tablas3" sheetId="18" r:id="rId4"/>
    <sheet name="Tablas4" sheetId="19" r:id="rId5"/>
  </sheets>
  <definedNames>
    <definedName name="_xlnm._FilterDatabase" localSheetId="0" hidden="1">Diseño!$B$1:$B$438</definedName>
    <definedName name="Database">#REF!</definedName>
    <definedName name="clasificacion">#REF!</definedName>
    <definedName name="METADATOS">Diseño!$A$2:$D$434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<sst xmlns="http://schemas.openxmlformats.org/spreadsheetml/2006/main" count="4159" uniqueCount="2089">
  <si>
    <r>
      <rPr>
        <b/>
        <sz val="18"/>
        <color theme="1"/>
        <rFont val="Arial"/>
        <charset val="134"/>
      </rPr>
      <t xml:space="preserve">Diseño de registro de la Encuesta de Salud en España_2023
</t>
    </r>
    <r>
      <rPr>
        <b/>
        <sz val="18"/>
        <rFont val="Arial"/>
        <charset val="134"/>
      </rPr>
      <t>Cuestionario adulto (ESdEadulto_2023)</t>
    </r>
  </si>
  <si>
    <t>Variable</t>
  </si>
  <si>
    <t>Diccionario de la variable</t>
  </si>
  <si>
    <t>Longitud</t>
  </si>
  <si>
    <t>Tipo</t>
  </si>
  <si>
    <t>Decimales</t>
  </si>
  <si>
    <t>Posición</t>
  </si>
  <si>
    <t>Orden</t>
  </si>
  <si>
    <t>Diccionario ubicado en la hoja…</t>
  </si>
  <si>
    <t>Descripción</t>
  </si>
  <si>
    <t>Observaciones</t>
  </si>
  <si>
    <t>CCAA</t>
  </si>
  <si>
    <t>TCCAA</t>
  </si>
  <si>
    <t>A</t>
  </si>
  <si>
    <t>Tablas1</t>
  </si>
  <si>
    <t>Comunidad Autónoma de residencia</t>
  </si>
  <si>
    <t xml:space="preserve">DATOS DE IDENTIFICACIÓN </t>
  </si>
  <si>
    <t>IDENTHOGAR</t>
  </si>
  <si>
    <t>Número de identificación del hogar: 0000001 a 9999999</t>
  </si>
  <si>
    <t>NORDENa</t>
  </si>
  <si>
    <t>Número de orden del adulto seleccionado</t>
  </si>
  <si>
    <t>SEXOa</t>
  </si>
  <si>
    <t>TSEXO</t>
  </si>
  <si>
    <t xml:space="preserve">Identificación del adulto seleccionado: Sexo
01 a 15 </t>
  </si>
  <si>
    <t>EDADa</t>
  </si>
  <si>
    <t>N_999NC</t>
  </si>
  <si>
    <t>N</t>
  </si>
  <si>
    <t>Tablas4</t>
  </si>
  <si>
    <t>Identificación del adulto seleccionado: Edad. De 015 a 120</t>
  </si>
  <si>
    <t>PROXY_0</t>
  </si>
  <si>
    <t>TSINO</t>
  </si>
  <si>
    <t>¿El informante es la persona seleccionada?</t>
  </si>
  <si>
    <t>IDENTIFICACIÓN DEL PROXY</t>
  </si>
  <si>
    <t>PROXY_1</t>
  </si>
  <si>
    <t>T1PROXY</t>
  </si>
  <si>
    <t>Informante proxy: ¿Cuál es el motivo por el que la persona seleccionada no facilita sus datos?</t>
  </si>
  <si>
    <t>(b)</t>
  </si>
  <si>
    <t>PROXY_2</t>
  </si>
  <si>
    <t>Informante proxy: ¿Es miembro del hogar el informante?</t>
  </si>
  <si>
    <t>PROXY_2b</t>
  </si>
  <si>
    <t>Informante proxy: Número de orden del miembro del hogar</t>
  </si>
  <si>
    <t>PROXY_4</t>
  </si>
  <si>
    <t>Informante proxy: Sexo del informante</t>
  </si>
  <si>
    <t>PROXY_5</t>
  </si>
  <si>
    <t>Informante proxy: Edad del informante. De 018 a 120</t>
  </si>
  <si>
    <t>PROXY_6</t>
  </si>
  <si>
    <t>T6PROXY</t>
  </si>
  <si>
    <t>Informante proxy: Relación del informante con el adulto seleccionado</t>
  </si>
  <si>
    <t>A1a</t>
  </si>
  <si>
    <t>T1_A</t>
  </si>
  <si>
    <t>País de nacimiento</t>
  </si>
  <si>
    <t>A. CARACTERÍSTICAS DEMOGRÁFICAS DE LA PERSONA ADULTA SELECCIONADA</t>
  </si>
  <si>
    <t>A1c</t>
  </si>
  <si>
    <t>País de nacimiento de la madre</t>
  </si>
  <si>
    <t>A1e</t>
  </si>
  <si>
    <t>País de nacimiento del padre</t>
  </si>
  <si>
    <t>A2a_1</t>
  </si>
  <si>
    <t>Nacionalidad: Española</t>
  </si>
  <si>
    <t>A2a_2</t>
  </si>
  <si>
    <t>Nacionalidad: Extranjera</t>
  </si>
  <si>
    <t>A2a_3</t>
  </si>
  <si>
    <t>Nacionalidad: No contesta</t>
  </si>
  <si>
    <t>A3</t>
  </si>
  <si>
    <t>N_99NC</t>
  </si>
  <si>
    <t>Años residiendo en España (00 a 97 años)</t>
  </si>
  <si>
    <t>A4</t>
  </si>
  <si>
    <t>T4A</t>
  </si>
  <si>
    <t>Convivencia en pareja</t>
  </si>
  <si>
    <t>A5</t>
  </si>
  <si>
    <t>T5A</t>
  </si>
  <si>
    <t>Estado civil</t>
  </si>
  <si>
    <t>NIVEST</t>
  </si>
  <si>
    <t>TESTUD</t>
  </si>
  <si>
    <t>Nivel de estudios del adulto seleccionado</t>
  </si>
  <si>
    <t>B1</t>
  </si>
  <si>
    <t>T1B</t>
  </si>
  <si>
    <t>Adulto seleccionado: ¿Percibe pensión contributiva?</t>
  </si>
  <si>
    <t>B. RELACIÓN DE LA PERSONA ADULTA SELECCIONADA CON LA ACTIVIDAD ECONÓMICA</t>
  </si>
  <si>
    <t>B2</t>
  </si>
  <si>
    <t>TSINOC</t>
  </si>
  <si>
    <t>Adulto seleccionado: ¿Ha trabajado antes?</t>
  </si>
  <si>
    <t>B3_2</t>
  </si>
  <si>
    <t>T3CNAE</t>
  </si>
  <si>
    <t>Tablas3</t>
  </si>
  <si>
    <t>Persona que generó la pensión: Actividad de la empresa en la que trabajó (CNAE2009, 3 dígitos)
000 No contesta</t>
  </si>
  <si>
    <t>CNAE-09</t>
  </si>
  <si>
    <t>B4_2</t>
  </si>
  <si>
    <t>T4CNO</t>
  </si>
  <si>
    <t>Tablas2</t>
  </si>
  <si>
    <t>Persona que generó la pensión: Ocupación, profesión u oficio (CNO2011, 3 dígitos)
000 No contesta</t>
  </si>
  <si>
    <t>CNO-11</t>
  </si>
  <si>
    <t>B5</t>
  </si>
  <si>
    <t>T5B</t>
  </si>
  <si>
    <t>Persona que generó la pensión: Situación profesional en la ocupación que desempeñó</t>
  </si>
  <si>
    <t>B6</t>
  </si>
  <si>
    <t>T6B</t>
  </si>
  <si>
    <t>Adulto seleccionado: Tiempo que lleva desempleado</t>
  </si>
  <si>
    <t>B7</t>
  </si>
  <si>
    <t>B8</t>
  </si>
  <si>
    <t>T8B</t>
  </si>
  <si>
    <t>Adulto seleccionado: Tipo de contrato o relación laboral</t>
  </si>
  <si>
    <t>B9a</t>
  </si>
  <si>
    <t>T9aB</t>
  </si>
  <si>
    <t>Adulto seleccionado: Duración del contrato</t>
  </si>
  <si>
    <t>B9b</t>
  </si>
  <si>
    <t>T9bB</t>
  </si>
  <si>
    <t>Adulto seleccionado: Duración de la relación laboral</t>
  </si>
  <si>
    <t>B10</t>
  </si>
  <si>
    <t>T10B</t>
  </si>
  <si>
    <t>Adulto seleccionado: Número de trabajadores a su cargo</t>
  </si>
  <si>
    <t>B11</t>
  </si>
  <si>
    <t>T11B</t>
  </si>
  <si>
    <t>Adulto seleccionado: Trabajo a tiempo completo / tiempo parcial</t>
  </si>
  <si>
    <t>B12</t>
  </si>
  <si>
    <t>T12B</t>
  </si>
  <si>
    <t>Adulto seleccionado: Tipo de jornada en su trabajo principal actual</t>
  </si>
  <si>
    <t>B13a_2</t>
  </si>
  <si>
    <t>Adulto seleccionado: Actividad de la empresa en la que trabaja (CNAE2009, 3 dígitos)</t>
  </si>
  <si>
    <t>B13b_2</t>
  </si>
  <si>
    <t>Adulto seleccionado: Actividad de la empresa en la que trabajó (CNAE2009, 3 dígitos)</t>
  </si>
  <si>
    <t>B14a_2</t>
  </si>
  <si>
    <t>Adulto seleccionado: Ocupación, profesión u oficio actual (CNO2011, 3 dígitos)</t>
  </si>
  <si>
    <t>B14b_2</t>
  </si>
  <si>
    <t>Adulto seleccionado: Última ocupación, profesión u oficio (CNO2011, 3 dígitos)</t>
  </si>
  <si>
    <t>B15</t>
  </si>
  <si>
    <t>T15B</t>
  </si>
  <si>
    <t>Adulto seleccionado: Situación profesional que desempeñó en su último empleo</t>
  </si>
  <si>
    <t>C1</t>
  </si>
  <si>
    <t>T1C</t>
  </si>
  <si>
    <t>Estado de salud percibido en los últimos 12 meses</t>
  </si>
  <si>
    <t xml:space="preserve">C. ESTADO DE SALUD </t>
  </si>
  <si>
    <t>C2</t>
  </si>
  <si>
    <t>Enfermedad o problema de salud crónicos o de larga duración</t>
  </si>
  <si>
    <t>C3a</t>
  </si>
  <si>
    <t>T3aC</t>
  </si>
  <si>
    <t>Grado de limitación durante al menos 6 meses por un problema de salud</t>
  </si>
  <si>
    <t>C3b</t>
  </si>
  <si>
    <t>T3bC</t>
  </si>
  <si>
    <t>Tipo de problema que causa la dificultad</t>
  </si>
  <si>
    <t>C4</t>
  </si>
  <si>
    <t>T4C</t>
  </si>
  <si>
    <t>Estado de salud bucodental</t>
  </si>
  <si>
    <t>C5a_1</t>
  </si>
  <si>
    <t>Ha padecido alguna vez: Tensión alta</t>
  </si>
  <si>
    <t>C5b_1</t>
  </si>
  <si>
    <t>Ha padecido en los últimos 12 meses: Tensión alta</t>
  </si>
  <si>
    <t>C5c_1</t>
  </si>
  <si>
    <t>Diagnóstico médico: Tensión alta</t>
  </si>
  <si>
    <t>C5a_2</t>
  </si>
  <si>
    <t>Ha padecido alguna vez: Infarto de miocardio</t>
  </si>
  <si>
    <t>C5b_2</t>
  </si>
  <si>
    <t>Ha padecido en los últimos 12 meses: Infarto de miocardio</t>
  </si>
  <si>
    <t>C5c_2</t>
  </si>
  <si>
    <t>Diagnóstico médico: Infarto de miocardio</t>
  </si>
  <si>
    <t>C5d_2</t>
  </si>
  <si>
    <t>Secuelas : Ha padecido secuelas del infarto de miocardio</t>
  </si>
  <si>
    <t>C5a_3</t>
  </si>
  <si>
    <t>Ha padecido alguna vez: Angina de pecho, enfermedad coronaria</t>
  </si>
  <si>
    <t>C5b_3</t>
  </si>
  <si>
    <t>Ha padecido en los últimos 12 meses: Angina de pecho, enfermedad coronaria</t>
  </si>
  <si>
    <t>C5c_3</t>
  </si>
  <si>
    <t>Diagnóstico médico: Angina de pecho, enfermedad coronaria</t>
  </si>
  <si>
    <t>C5a_4</t>
  </si>
  <si>
    <t>Ha padecido alguna vez: Otras enfermedades del corazón</t>
  </si>
  <si>
    <t>C5b_4</t>
  </si>
  <si>
    <t>Ha padecido en los últimos 12 meses: Otras enfermedades del corazón</t>
  </si>
  <si>
    <t>C5c_4</t>
  </si>
  <si>
    <t>Diagnóstico médico: Otras enfermedades del corazón</t>
  </si>
  <si>
    <t>C5a_5</t>
  </si>
  <si>
    <t>Ha padecido alguna vez: Varices en las piernas</t>
  </si>
  <si>
    <t>C5b_5</t>
  </si>
  <si>
    <t>Ha padecido en los últimos 12 meses: Varices en las piernas</t>
  </si>
  <si>
    <t>C5c_5</t>
  </si>
  <si>
    <t>Diagnóstico médico: Varices en las piernas</t>
  </si>
  <si>
    <t>C5a_6</t>
  </si>
  <si>
    <t>Ha padecido alguna vez: Artrosis (excluyendo artritis)</t>
  </si>
  <si>
    <t>C5b_6</t>
  </si>
  <si>
    <t>Ha padecido en los últimos 12 meses: Artrosis (excluyendo artritis)</t>
  </si>
  <si>
    <t>C5c_6</t>
  </si>
  <si>
    <t>Diagnóstico médico: Artrosis (excluyendo artritis)</t>
  </si>
  <si>
    <t>C5a_7</t>
  </si>
  <si>
    <t>Ha padecido alguna vez: Dolor de espalda crónico (cervical)</t>
  </si>
  <si>
    <t>C5b_7</t>
  </si>
  <si>
    <t>Ha padecido en los últimos 12 meses: Dolor de espalda crónico (cervical)</t>
  </si>
  <si>
    <t>C5c_7</t>
  </si>
  <si>
    <t>Diagnóstico médico: Dolor de espalda crónico (cervical)</t>
  </si>
  <si>
    <t>C5a_8</t>
  </si>
  <si>
    <t>Ha padecido alguna vez: Dolor de espalda crónico (lumbar)</t>
  </si>
  <si>
    <t>C5b_8</t>
  </si>
  <si>
    <t>Ha padecido en los últimos 12 meses: Dolor de espalda crónico (lumbar)</t>
  </si>
  <si>
    <t>C5c_8</t>
  </si>
  <si>
    <t>Diagnóstico médico: Dolor de espalda crónico (lumbar)</t>
  </si>
  <si>
    <t>C5a_9</t>
  </si>
  <si>
    <t>Ha padecido alguna vez: Alergia crónica, como rinitis, conjuntivitis o dermatitis alérgica, alergia alimentaria o de otro tipo (asma alérgica excluida)</t>
  </si>
  <si>
    <t>C5b_9</t>
  </si>
  <si>
    <t>Ha padecido en los últimos 12 meses: Alergia crónica, como rinitis, conjuntivitis o dermatitis alérgica, alergia alimentaria o de otro tipo (asma alérgica excluida)</t>
  </si>
  <si>
    <t>C5c_9</t>
  </si>
  <si>
    <t>Diagnóstico médico: Alergia crónica, como rinitis, conjuntivitis o dermatitis alérgica, alergia alimentaria o de otro tipo (asma alérgica excluida)</t>
  </si>
  <si>
    <t>C5a_10</t>
  </si>
  <si>
    <t>Ha padecido alguna vez: Asma (incluida asma alérgica)</t>
  </si>
  <si>
    <t>C5b_10</t>
  </si>
  <si>
    <t>Ha padecido en los últimos 12 meses: Asma (incluida asma alérgica)</t>
  </si>
  <si>
    <t>C5c_10</t>
  </si>
  <si>
    <t>Diagnóstico médico: Asma (incluida asma alérgica)</t>
  </si>
  <si>
    <t>C5a_11</t>
  </si>
  <si>
    <t>Ha padecido alguna vez: Bronquitis crónica, enfisema, enfermedad pulmonar obstructiva crónica (EPOC)</t>
  </si>
  <si>
    <t>C5b_11</t>
  </si>
  <si>
    <t>Ha padecido en los últimos 12 meses: Bronquitis crónica, enfisema, enfermedad pulmonar obstructiva crónica (EPOC)</t>
  </si>
  <si>
    <t>C5c_11</t>
  </si>
  <si>
    <t>Diagnóstico médico: Bronquitis crónica, enfisema, enfermedad pulmonar obstructiva crónica (EPOC)</t>
  </si>
  <si>
    <t>C5a_12</t>
  </si>
  <si>
    <t>Ha padecido alguna vez: Diabetes</t>
  </si>
  <si>
    <t>C5b_12</t>
  </si>
  <si>
    <t>Ha padecido en los últimos 12 meses: Diabetes</t>
  </si>
  <si>
    <t>C5c_12</t>
  </si>
  <si>
    <t>Diagnóstico médico: Diabetes</t>
  </si>
  <si>
    <t>C5a_13</t>
  </si>
  <si>
    <t>Ha padecido alguna vez: Úlcera de estómago o duodeno</t>
  </si>
  <si>
    <t>C5b_13</t>
  </si>
  <si>
    <t>Ha padecido en los últimos 12 meses: Úlcera de estómago o duodeno</t>
  </si>
  <si>
    <t>C5c_13</t>
  </si>
  <si>
    <t>Diagnóstico médico: Úlcera de estómago o duodeno</t>
  </si>
  <si>
    <t>C5a_14</t>
  </si>
  <si>
    <t>Ha padecido alguna vez: Incontinencia urinaria o problemas de control de la orina</t>
  </si>
  <si>
    <t>C5b_14</t>
  </si>
  <si>
    <t>Ha padecido en los últimos 12 meses: Incontinencia urinaria o problemas de control de la orina</t>
  </si>
  <si>
    <t>C5c_14</t>
  </si>
  <si>
    <t>Diagnóstico médico: Incontinencia urinaria o problemas de control de la orina</t>
  </si>
  <si>
    <t>C5a_15</t>
  </si>
  <si>
    <t>Ha padecido alguna vez: Colesterol alto</t>
  </si>
  <si>
    <t>C5b_15</t>
  </si>
  <si>
    <t>Ha padecido en los últimos 12 meses: Colesterol alto</t>
  </si>
  <si>
    <t>C5c_15</t>
  </si>
  <si>
    <t>Diagnóstico médico: Colesterol alto</t>
  </si>
  <si>
    <t>C5a_16</t>
  </si>
  <si>
    <t>Ha padecido alguna vez: Cataratas</t>
  </si>
  <si>
    <t>C5b_16</t>
  </si>
  <si>
    <t>Ha padecido en los últimos 12 meses: Cataratas</t>
  </si>
  <si>
    <t>C5c_16</t>
  </si>
  <si>
    <t>Diagnóstico médico: Cataratas</t>
  </si>
  <si>
    <t>C5a_17</t>
  </si>
  <si>
    <t>Ha padecido alguna vez: Problemas crónicos de piel</t>
  </si>
  <si>
    <t>C5b_17</t>
  </si>
  <si>
    <t>Ha padecido en los últimos 12 meses: Problemas crónicos de piel</t>
  </si>
  <si>
    <t>C5c_17</t>
  </si>
  <si>
    <t>Diagnóstico médico: Problemas crónicos de piel</t>
  </si>
  <si>
    <t>C5a_18</t>
  </si>
  <si>
    <t>Ha padecido alguna vez: Estreñimiento crónico</t>
  </si>
  <si>
    <t>C5b_18</t>
  </si>
  <si>
    <t>Ha padecido en los últimos 12 meses: Estreñimiento crónico</t>
  </si>
  <si>
    <t>C5c_18</t>
  </si>
  <si>
    <t>Diagnóstico médico: Estreñimiento crónico</t>
  </si>
  <si>
    <t>C5a_19</t>
  </si>
  <si>
    <t>Ha padecido alguna vez: Cirrosis, disfunción hepática</t>
  </si>
  <si>
    <t>C5b_19</t>
  </si>
  <si>
    <t>Ha padecido en los últimos 12 meses: Cirrosis, disfunción hepática</t>
  </si>
  <si>
    <t>C5c_19</t>
  </si>
  <si>
    <t>Diagnóstico médico: Cirrosis, disfunción hepática</t>
  </si>
  <si>
    <t>C5a_20</t>
  </si>
  <si>
    <t>Ha padecido alguna vez: Alzheimer y otras demencias</t>
  </si>
  <si>
    <t>C5b_20</t>
  </si>
  <si>
    <t>Ha padecido en los últimos 12 meses: Alzheimer y otras demencias</t>
  </si>
  <si>
    <t>C5c_20</t>
  </si>
  <si>
    <t>Diagnóstico médico: Alzheimer y otras demencias</t>
  </si>
  <si>
    <t>C5a_21</t>
  </si>
  <si>
    <t>Ha padecido alguna vez: Depresión</t>
  </si>
  <si>
    <t>C5b_21</t>
  </si>
  <si>
    <t>Ha padecido en los últimos 12 meses: Depresión</t>
  </si>
  <si>
    <t>C5c_21</t>
  </si>
  <si>
    <t>Diagnóstico médico: Depresión</t>
  </si>
  <si>
    <t>C5a_22</t>
  </si>
  <si>
    <t xml:space="preserve">Ha padecido alguna vez: Ansiedad crónica </t>
  </si>
  <si>
    <t>C5b_22</t>
  </si>
  <si>
    <t xml:space="preserve">Ha padecido en los últimos 12 meses: Ansiedad crónica </t>
  </si>
  <si>
    <t>C5c_22</t>
  </si>
  <si>
    <t xml:space="preserve">Diagnóstico médico: Ansiedad crónica </t>
  </si>
  <si>
    <t>C5a_23</t>
  </si>
  <si>
    <t>Ha padecido alguna vez: Otros problemas mentales</t>
  </si>
  <si>
    <t>C5b_23</t>
  </si>
  <si>
    <t>Ha padecido en los últimos 12 meses: Otros problemas mentales</t>
  </si>
  <si>
    <t>C5c_23</t>
  </si>
  <si>
    <t>Diagnóstico médico: Otros problemas mentales</t>
  </si>
  <si>
    <t>C5a_24</t>
  </si>
  <si>
    <t>Ha padecido alguna vez: Ictus (embolia, infarto cerebral, hemorragia cerebral)</t>
  </si>
  <si>
    <t>C5b_24</t>
  </si>
  <si>
    <t>Ha padecido en los últimos 12 meses: Ictus (embolia, infarto cerebral, hemorragia cerebral)</t>
  </si>
  <si>
    <t>C5c_24</t>
  </si>
  <si>
    <t>Diagnóstico médico: Ictus (embolia, infarto cerebral, hemorragia cerebral)</t>
  </si>
  <si>
    <t>C5d_24</t>
  </si>
  <si>
    <t>Secuelas: Ictus (embolia, infarto cerebral, hemorragia cerebral)</t>
  </si>
  <si>
    <t>C5a_25</t>
  </si>
  <si>
    <t>Ha padecido alguna vez: Migraña o dolor de cabeza frecuente</t>
  </si>
  <si>
    <t>C5b_25</t>
  </si>
  <si>
    <t>Ha padecido en los últimos 12 meses: Migraña o dolor de cabeza frecuente</t>
  </si>
  <si>
    <t>C5c_25</t>
  </si>
  <si>
    <t>Diagnóstico médico: Migraña o dolor de cabeza frecuente</t>
  </si>
  <si>
    <t>C5a_26</t>
  </si>
  <si>
    <t>Ha padecido alguna vez: Hemorroides</t>
  </si>
  <si>
    <t>C5b_26</t>
  </si>
  <si>
    <t>Ha padecido en los últimos 12 meses: Hemorroides</t>
  </si>
  <si>
    <t>C5c_26</t>
  </si>
  <si>
    <t>Diagnóstico médico: Hemorroides</t>
  </si>
  <si>
    <t>C5a_27</t>
  </si>
  <si>
    <t>Ha padecido alguna vez: Tumores malignos</t>
  </si>
  <si>
    <t>C5b_27</t>
  </si>
  <si>
    <t>Ha padecido en los últimos 12 meses: Tumores malignos</t>
  </si>
  <si>
    <t>C5c_27</t>
  </si>
  <si>
    <t>Diagnóstico médico: Tumores malignos</t>
  </si>
  <si>
    <t>C5a_28</t>
  </si>
  <si>
    <t>Ha padecido alguna vez: Osteoporosis</t>
  </si>
  <si>
    <t>C5b_28</t>
  </si>
  <si>
    <t>Ha padecido en los últimos 12 meses: Osteoporosis</t>
  </si>
  <si>
    <t>C5c_28</t>
  </si>
  <si>
    <t>Diagnóstico médico: Osteoporosis</t>
  </si>
  <si>
    <t>C5a_29</t>
  </si>
  <si>
    <t>Ha padecido alguna vez: Problemas de tiroides</t>
  </si>
  <si>
    <t>C5b_29</t>
  </si>
  <si>
    <t>Ha padecido en los últimos 12 meses: Problemas de tiroides</t>
  </si>
  <si>
    <t>C5c_29</t>
  </si>
  <si>
    <t>Diagnóstico médico: Problemas de tiroides</t>
  </si>
  <si>
    <t>C5a_30</t>
  </si>
  <si>
    <t>Ha padecido alguna vez: Problemas de riñón</t>
  </si>
  <si>
    <t>C5b_30</t>
  </si>
  <si>
    <t>Ha padecido en los últimos 12 meses: Problemas de riñón</t>
  </si>
  <si>
    <t>C5c_30</t>
  </si>
  <si>
    <t>Diagnóstico médico: Problemas de riñón</t>
  </si>
  <si>
    <t>C5a_31</t>
  </si>
  <si>
    <t>Ha padecido alguna vez: Problemas de próstata (solo hombres)</t>
  </si>
  <si>
    <t>C5b_31</t>
  </si>
  <si>
    <t>Ha padecido en los últimos 12 meses: Problemas de próstata (solo hombres)</t>
  </si>
  <si>
    <t>C5c_31</t>
  </si>
  <si>
    <t>Diagnóstico médico: Problemas de próstata (solo hombres)</t>
  </si>
  <si>
    <t>C5a_32</t>
  </si>
  <si>
    <t>Ha padecido alguna vez: Problemas del periodo menopáusico (solo mujeres)</t>
  </si>
  <si>
    <t>C5b_32</t>
  </si>
  <si>
    <t>Ha padecido en los últimos 12 meses: Problemas del periodo menopáusico (solo mujeres)</t>
  </si>
  <si>
    <t>C5c_32</t>
  </si>
  <si>
    <t>Diagnóstico médico: Problemas del periodo menopáusico (solo mujeres)</t>
  </si>
  <si>
    <t>C5a_33</t>
  </si>
  <si>
    <t>Ha padecido alguna vez: Lesiones o defectos permanentes causados por un accidente</t>
  </si>
  <si>
    <t>C5b_33</t>
  </si>
  <si>
    <t>Ha padecido en los últimos 12 meses: Lesiones o defectos permanentes causados por un accidente</t>
  </si>
  <si>
    <t>C5c_33</t>
  </si>
  <si>
    <t>Diagnóstico médico: Lesiones o defectos permanentes causados por un accidente</t>
  </si>
  <si>
    <t>D1_1</t>
  </si>
  <si>
    <t>Ha tenido en los últimos 12 meses: Accidente de tráfico</t>
  </si>
  <si>
    <t>D. ACCIDENTALIDAD</t>
  </si>
  <si>
    <t>D1_2</t>
  </si>
  <si>
    <t>Ha tenido en los últimos 12 meses: Accidente en casa</t>
  </si>
  <si>
    <t>D1_3</t>
  </si>
  <si>
    <t>Ha tenido en los últimos 12 meses: Accidente durante su tiempo libre</t>
  </si>
  <si>
    <t>D2</t>
  </si>
  <si>
    <t>T2D</t>
  </si>
  <si>
    <t>Intervención sanitaria debida al accidente más grave</t>
  </si>
  <si>
    <t>E1</t>
  </si>
  <si>
    <t>Ausencias del trabajo en los últimos 12 meses por problemas de salud</t>
  </si>
  <si>
    <t>E. AUSENCIA DEL TRABAJO POR PROBLEMAS DE SALUD</t>
  </si>
  <si>
    <t>E2</t>
  </si>
  <si>
    <t>Número de días de ausencia del trabajo en los últimos 12 meses (001 al 366)</t>
  </si>
  <si>
    <t>F1</t>
  </si>
  <si>
    <t>T1F</t>
  </si>
  <si>
    <t>¿Utiliza gafas o lentillas?</t>
  </si>
  <si>
    <t>F. LIMITACIONES FÍSICAS Y SENSORIALES</t>
  </si>
  <si>
    <t>F2</t>
  </si>
  <si>
    <t>T2F</t>
  </si>
  <si>
    <t>Dificultad para ver (doble enunciado)</t>
  </si>
  <si>
    <t>F3</t>
  </si>
  <si>
    <t>T3F</t>
  </si>
  <si>
    <t>¿Utiliza audífono?</t>
  </si>
  <si>
    <t>F4</t>
  </si>
  <si>
    <t>T1DIFIC</t>
  </si>
  <si>
    <t>Dificultad para oir en un sitio tranquilo (doble enunciado)</t>
  </si>
  <si>
    <t>F5</t>
  </si>
  <si>
    <t>Dificultad para oir en un sitio más ruidoso (doble enunciado)</t>
  </si>
  <si>
    <t>F6</t>
  </si>
  <si>
    <t>Dificultad para caminar 500 metros sin ayuda</t>
  </si>
  <si>
    <t>F7</t>
  </si>
  <si>
    <t>Dificultad para subir o bajar 12 escalones</t>
  </si>
  <si>
    <t>F8</t>
  </si>
  <si>
    <t>Dificultad para concentrarse</t>
  </si>
  <si>
    <t>F9</t>
  </si>
  <si>
    <t>Dificultad para morder o masticar</t>
  </si>
  <si>
    <t>G1_1</t>
  </si>
  <si>
    <t>T2DIFIC</t>
  </si>
  <si>
    <t>Dificultad para actividades básicas diarias: Alimentarse sin ayuda</t>
  </si>
  <si>
    <t>G. LIMITACIONES PARA LA REALIZACIÓN DE LAS ACTIVIDADES DE LA VIDA COTIDIANA</t>
  </si>
  <si>
    <t>G1_2</t>
  </si>
  <si>
    <t>Dificultad para actividades básicas diarias: Sentarse, levantarse de una silla o de una cama, acostarse sin ayuda</t>
  </si>
  <si>
    <t>G1_3</t>
  </si>
  <si>
    <t>Dificultad para actividades básicas diarias: Vestirse y desvestirse sin ayuda</t>
  </si>
  <si>
    <t>G1_4</t>
  </si>
  <si>
    <t>Dificultad para actividades básicas diarias: Ir al servicio sin ayuda</t>
  </si>
  <si>
    <t>G1_5</t>
  </si>
  <si>
    <t>Dificultad para actividades básicas diarias: Ducharse o bañarse sin ayuda</t>
  </si>
  <si>
    <t>G2</t>
  </si>
  <si>
    <t>T1AYUD</t>
  </si>
  <si>
    <t>¿Dispone habitualmente de ayuda para realizarlas?</t>
  </si>
  <si>
    <t>G3</t>
  </si>
  <si>
    <t>¿Necesitaría ayuda o más ayuda de la que dispone? (doble enunciado)</t>
  </si>
  <si>
    <t>G4_1</t>
  </si>
  <si>
    <t>Dificultad para actividades relacionadas con el hogar: Preparar las comidas sin ayuda</t>
  </si>
  <si>
    <t>G4_2</t>
  </si>
  <si>
    <t>Dificultad para actividades relacionadas con el hogar: Utilizar el teléfono sin ayuda</t>
  </si>
  <si>
    <t>G4_3</t>
  </si>
  <si>
    <t>Dificultad para actividades relacionadas con el hogar: Realizar compras sin ayuda</t>
  </si>
  <si>
    <t>G4_4</t>
  </si>
  <si>
    <t>Dificultad para actividades relacionadas con el hogar: Tomar sus medicamentos sin ayuda</t>
  </si>
  <si>
    <t>G4_5</t>
  </si>
  <si>
    <t>Dificultad para actividades relacionadas con el hogar: Realizar tareas domésticas ligeras sin ayuda</t>
  </si>
  <si>
    <t>G4_6</t>
  </si>
  <si>
    <t>Dificultad para actividades relacionadas con el hogar: Realizar ocasionalmente tareas domésticas que requieren un gran esfuerzo sin ayuda</t>
  </si>
  <si>
    <t>G4_7</t>
  </si>
  <si>
    <t>Dificultad para actividades relacionadas con el hogar: Administrar su propio dinero sin ayuda</t>
  </si>
  <si>
    <t>G5</t>
  </si>
  <si>
    <t>G6</t>
  </si>
  <si>
    <t>G7</t>
  </si>
  <si>
    <t>T7G</t>
  </si>
  <si>
    <t>Grado de dolor padecido durante las últimas 4 semanas</t>
  </si>
  <si>
    <t>G8</t>
  </si>
  <si>
    <t>T8G</t>
  </si>
  <si>
    <t>¿Hasta qué punto el dolor afectó a sus actividades cotidianas?</t>
  </si>
  <si>
    <t>H3</t>
  </si>
  <si>
    <t>T3H</t>
  </si>
  <si>
    <t>Indique cómo considera Ud. el nivel de estrés de su trabajo según una escala de 1 (nada estresante) a 7 (muy estresante):</t>
  </si>
  <si>
    <t>H. ESTRÉS Y SATISFACCIÓN LABORAL</t>
  </si>
  <si>
    <t>H4</t>
  </si>
  <si>
    <t>T4H</t>
  </si>
  <si>
    <t>Indique en qué medida considera su trabajo satisfactorio según una escala de 1 (nada satisfactorio) a 7 (muy satisfactorio):</t>
  </si>
  <si>
    <t>I1</t>
  </si>
  <si>
    <t>T1I</t>
  </si>
  <si>
    <t>Tiempo desde la última consulta al médico general o de familia</t>
  </si>
  <si>
    <t>I. CONSULTAS MÉDICAS Y OTROS SERVICIOS AMBULATORIOS</t>
  </si>
  <si>
    <t>I2</t>
  </si>
  <si>
    <t>Número de consultas a un médico general o de familia en las cuatro últimas semanas
00 a 28
El valor 00 corresponde a las personas que fueron al médico general en los últimos 12 meses pero no en las últimas 4 semanas (criterio Eurostat)</t>
  </si>
  <si>
    <t>I3</t>
  </si>
  <si>
    <t>T3I</t>
  </si>
  <si>
    <t>Tiempo desde la última consulta a un médico especialista</t>
  </si>
  <si>
    <t>I4</t>
  </si>
  <si>
    <t>Número de consultas a un médico especialista en las cuatro últimas semanas
00 a 28
El valor 00 corresponde a las personas que fueron al médico especialista en los últimos 12 meses pero no en las últimas 4 semanas (criterio Eurostat)</t>
  </si>
  <si>
    <t>I5</t>
  </si>
  <si>
    <t>T5I</t>
  </si>
  <si>
    <t>Último médico consultado</t>
  </si>
  <si>
    <t>I6</t>
  </si>
  <si>
    <t>T6I</t>
  </si>
  <si>
    <t>Lugar de la última consulta en estas cuatro semanas</t>
  </si>
  <si>
    <t>I7</t>
  </si>
  <si>
    <t>T7I</t>
  </si>
  <si>
    <t>Motivo principal de esta última consulta</t>
  </si>
  <si>
    <t>I8</t>
  </si>
  <si>
    <t>T8I</t>
  </si>
  <si>
    <t>Dependencia funcional del médico</t>
  </si>
  <si>
    <t>I9_1</t>
  </si>
  <si>
    <t>Visita durante los últimos 12 meses a: Fisioterapeuta</t>
  </si>
  <si>
    <t>I9_2</t>
  </si>
  <si>
    <t>Visita durante los últimos 12 meses a: Psicólogo, psicoterapeuta o psiquiatra</t>
  </si>
  <si>
    <t>I9_3</t>
  </si>
  <si>
    <t>Visita durante los últimos 12 meses a: Enfermero/a, matrona</t>
  </si>
  <si>
    <t>I10</t>
  </si>
  <si>
    <t>Realización de análisis en los últimos 12 meses</t>
  </si>
  <si>
    <t>I11_1</t>
  </si>
  <si>
    <t>Pruebas durante los últimos 12 meses: Radiografía</t>
  </si>
  <si>
    <t>I11_2</t>
  </si>
  <si>
    <t>Pruebas durante los últimos 12 meses: TAC o escáner</t>
  </si>
  <si>
    <t>I11_3</t>
  </si>
  <si>
    <t>Pruebas durante los últimos 12 meses: Ecografía</t>
  </si>
  <si>
    <t>I11_4</t>
  </si>
  <si>
    <t>Pruebas durante los últimos 12 meses: Resonancia magnética</t>
  </si>
  <si>
    <t>I12_1</t>
  </si>
  <si>
    <t>Visitas durante los últimos 12 meses: Homeópata</t>
  </si>
  <si>
    <t>I12_2</t>
  </si>
  <si>
    <t>Visitas durante los últimos 12 meses: Acupuntor</t>
  </si>
  <si>
    <t>I12_3</t>
  </si>
  <si>
    <t>Visitas durante los últimos 12 meses: Naturista</t>
  </si>
  <si>
    <t>I12_4</t>
  </si>
  <si>
    <t>Visitas durante los últimos 12 meses: Otro profesional de medicina alternativa (osteópata, quiropráctico...)</t>
  </si>
  <si>
    <t>I13_1</t>
  </si>
  <si>
    <t>Servicios asistenciales en los últimos 12 meses: Atención domiciliaria prestada por enfermero/a o matrona</t>
  </si>
  <si>
    <t>I13_2</t>
  </si>
  <si>
    <t>Servicios asistenciales en los últimos 12 meses: Ayuda domiciliaria para las tareas domésticas o para las personas mayores</t>
  </si>
  <si>
    <t>I13_3</t>
  </si>
  <si>
    <t>Servicios asistenciales en los últimos 12 meses: Comidas a domicilio para personas mayores</t>
  </si>
  <si>
    <t>I13_4</t>
  </si>
  <si>
    <t>Servicios asistenciales en los últimos 12 meses: Servicios especiales de transporte a domicilio</t>
  </si>
  <si>
    <t>I13_5</t>
  </si>
  <si>
    <t>Servicios asistenciales en los últimos 12 meses: Otros servicios de asistencia domiciliaria</t>
  </si>
  <si>
    <t>I14</t>
  </si>
  <si>
    <t>T14I</t>
  </si>
  <si>
    <t>Tiempo desde la última consulta al dentista, estomatólogo o higienista dental</t>
  </si>
  <si>
    <t>I14b</t>
  </si>
  <si>
    <t>Nº de veces que visitó al dentista, estomatólogo o higienista dental en los últimos 3 meses</t>
  </si>
  <si>
    <t>I15_1</t>
  </si>
  <si>
    <t>Tipo de asistencia: Revisión o chequeo</t>
  </si>
  <si>
    <t>I15_2</t>
  </si>
  <si>
    <t>Tipo de asistencia: Limpieza de boca</t>
  </si>
  <si>
    <t>I15_3</t>
  </si>
  <si>
    <t xml:space="preserve">Tipo de asistencia: Empastes (obturaciones), endodoncias </t>
  </si>
  <si>
    <t>I15_4</t>
  </si>
  <si>
    <t>Tipo de asistencia: Extracción de algún diente/muela</t>
  </si>
  <si>
    <t>I15_5</t>
  </si>
  <si>
    <t>Tipo de asistencia: Fundas, puentes u otro tipo de prótesis</t>
  </si>
  <si>
    <t>I15_6</t>
  </si>
  <si>
    <t>Tipo de asistencia: Tratamiento de las enfermedades de las encías</t>
  </si>
  <si>
    <t>I15_7</t>
  </si>
  <si>
    <t>Tipo de asistencia: Ortodoncia</t>
  </si>
  <si>
    <t>I15_8</t>
  </si>
  <si>
    <t>Tipo de asistencia: Aplicación de flúor</t>
  </si>
  <si>
    <t>I15_9</t>
  </si>
  <si>
    <t>Tipo de asistencia: Implantes</t>
  </si>
  <si>
    <t>I15_10</t>
  </si>
  <si>
    <t>Tipo de asistencia: Otro tipo</t>
  </si>
  <si>
    <t>I16</t>
  </si>
  <si>
    <t>T16I</t>
  </si>
  <si>
    <t>Dependencia funcional del dentista consultado en la última visita</t>
  </si>
  <si>
    <t>I17_1</t>
  </si>
  <si>
    <t>Estado de dientes y muelas: Tiene caries</t>
  </si>
  <si>
    <t>I17_2</t>
  </si>
  <si>
    <t>Estado de dientes y muelas: Le han extraído dientes/muelas</t>
  </si>
  <si>
    <t>I17_3</t>
  </si>
  <si>
    <t>Estado de dientes y muelas: Tiene dientes/muelas empastados (obturados)</t>
  </si>
  <si>
    <t>I17_4</t>
  </si>
  <si>
    <t>Estado de dientes y muelas: Le sangran las encías al cepillarse o espontáneamente</t>
  </si>
  <si>
    <t>I17_5</t>
  </si>
  <si>
    <t>Estado de dientes y muelas: Se le mueven los dientes/muelas</t>
  </si>
  <si>
    <t>I17_6</t>
  </si>
  <si>
    <t>Estado de dientes y muelas: Lleva fundas (coronas), puentes, otras prótesis o dentadura postiza</t>
  </si>
  <si>
    <t>I17_7</t>
  </si>
  <si>
    <t>Estado de dientes y muelas: Le faltan dientes/muelas que no han sido sustituidos por prótesis</t>
  </si>
  <si>
    <t>I17_8</t>
  </si>
  <si>
    <t>Estado de dientes y muelas: Tiene o conserva todos sus dientes/muelas naturales</t>
  </si>
  <si>
    <t>J1</t>
  </si>
  <si>
    <t>Ingreso en hospital en los últimos 12 meses, excluyendo parto o cesárea (doble enunciado)</t>
  </si>
  <si>
    <t>J. HOSPITALIZACIONES, URGENCIAS Y SEGURO SANITARIO</t>
  </si>
  <si>
    <t>J2</t>
  </si>
  <si>
    <t>Número de veces ingresado en un hospital en los últimos 12 meses, excluyendo parto o cesárea (doble enunciado)
00 a 89
Se permite el 00 para personas que están hospitalizadas en el momento de la entrevista y no han estado hospitalizadas más veces en los últimos 12 meses (regla Eurostat)</t>
  </si>
  <si>
    <t>J3</t>
  </si>
  <si>
    <t>Número total de noches ingresado en un hospital en los últimos 12 meses, excluyendo parto o cesárea
000 a 365
Se permite el 000 para personas que están hospitalizadas en el momento de la entrevista y no han estado hospitalizadas más veces en los últimos 12 meses (regla Eurostat)</t>
  </si>
  <si>
    <t>J4</t>
  </si>
  <si>
    <t>Ingreso en hospital en los últimos 12 meses debido a parto o cesárea</t>
  </si>
  <si>
    <t>J5</t>
  </si>
  <si>
    <t>T5J</t>
  </si>
  <si>
    <t>Motivo del último ingreso en el hospital</t>
  </si>
  <si>
    <t>J6</t>
  </si>
  <si>
    <t>T6J</t>
  </si>
  <si>
    <t>¿A cargo de quién corrieron los gastos de hospitalización?</t>
  </si>
  <si>
    <t>J7</t>
  </si>
  <si>
    <t>Ingreso en hospital de día en los últimos 12 meses</t>
  </si>
  <si>
    <t>J8</t>
  </si>
  <si>
    <t>Número de ingresos en un hospital de día en los últimos 12 meses
001 a 365</t>
  </si>
  <si>
    <t>J9</t>
  </si>
  <si>
    <t>Utilización del servicio de urgencias en los últimos 12 meses</t>
  </si>
  <si>
    <t>J10</t>
  </si>
  <si>
    <t>Número de veces que utilizó el servicio de urgencias en los últimos 12 meses
001 a 200</t>
  </si>
  <si>
    <t>J11_1</t>
  </si>
  <si>
    <t>Lugar de atención del último servicio de urgencias: Lugar donde se encontraba</t>
  </si>
  <si>
    <t>J11_2</t>
  </si>
  <si>
    <t>Lugar de atención del último servicio de urgencias: Unidad móvil</t>
  </si>
  <si>
    <t>J11_3</t>
  </si>
  <si>
    <t>Lugar de atención del último servicio de urgencias: Centro o servicio de urgencias</t>
  </si>
  <si>
    <t>J12_1</t>
  </si>
  <si>
    <t>Tiempo desde que se sintió enfermo hasta que pidió asistencia urgente (último servicio de urgencias utilizado): Días
00 a 30</t>
  </si>
  <si>
    <t>J12_2</t>
  </si>
  <si>
    <t>Tiempo desde que se sintió enfermo hasta que pidió asistencia urgente (último servicio de urgencias utilizado): Horas
00 a 23</t>
  </si>
  <si>
    <t>J12_3</t>
  </si>
  <si>
    <t>Tiempo desde que se sintió enfermo hasta que pidió asistencia urgente (último servicio de urgencias utilizado): Minutos
00 a 59</t>
  </si>
  <si>
    <t>J13_1</t>
  </si>
  <si>
    <t>Tiempo desde que pidió asistencia urgente hasta que fue atendido (último servicio de urgencias utilizado): Horas
00 a 48</t>
  </si>
  <si>
    <t>J13_2</t>
  </si>
  <si>
    <t>Tiempo desde que pidió asistencia urgente hasta que fue atendido (último servicio de urgencias utilizado): Minutos
00 a 59</t>
  </si>
  <si>
    <t>J14</t>
  </si>
  <si>
    <t>T14J</t>
  </si>
  <si>
    <t>Tipo de servicio de urgencias utilizado la última vez</t>
  </si>
  <si>
    <t>J15_1</t>
  </si>
  <si>
    <t>Modalidad de seguro sanitario: Sanidad Pública (Seguridad Social)</t>
  </si>
  <si>
    <t>J15_2</t>
  </si>
  <si>
    <t>Modalidad de seguro sanitario: Mutualidades del Estado (MUFACE, ISFAS, MUGEJU) acogidas a la Seguridad Social</t>
  </si>
  <si>
    <t>J15_3</t>
  </si>
  <si>
    <t>Modalidad de seguro sanitario: Mutualidades del Estado (MUFACE, ISFAS, MUGEJU) acogidas a un seguro privado</t>
  </si>
  <si>
    <t>J15_4</t>
  </si>
  <si>
    <t>Modalidad de seguro sanitario: Seguro médico privado, concertado individualmente (sociedades médicas, Colegios Profesionales...)</t>
  </si>
  <si>
    <t>J15_5</t>
  </si>
  <si>
    <t>Modalidad de seguro sanitario: Seguro médico concertado por la empresa</t>
  </si>
  <si>
    <t>J15_6</t>
  </si>
  <si>
    <t>Modalidad de seguro sanitario: No tiene seguro médico</t>
  </si>
  <si>
    <t>J15_7</t>
  </si>
  <si>
    <t>Modalidad de seguro sanitario: Otras situaciones</t>
  </si>
  <si>
    <t>K1</t>
  </si>
  <si>
    <t>Consumo de medicamentos recetados por un médico durante las dos últimas semanas</t>
  </si>
  <si>
    <t>K. CONSUMO DE MEDICAMENTOS</t>
  </si>
  <si>
    <t>K2</t>
  </si>
  <si>
    <t>Consumo de medicamentos no recetados por un médico durante las dos últimas semanas</t>
  </si>
  <si>
    <t>K3_1a</t>
  </si>
  <si>
    <t>Medicinas para el catarro, gripe, garganta, bronquios consumidas</t>
  </si>
  <si>
    <t>K3_1b</t>
  </si>
  <si>
    <t>Medicinas para el catarro, gripe, garganta, bronquios recetadas</t>
  </si>
  <si>
    <t>K3_2a</t>
  </si>
  <si>
    <t xml:space="preserve">Medicinas para el dolor consumidas                        </t>
  </si>
  <si>
    <t>K3_2b</t>
  </si>
  <si>
    <t xml:space="preserve">Medicinas para el dolor recetadas                        </t>
  </si>
  <si>
    <t>K3_3a</t>
  </si>
  <si>
    <t xml:space="preserve">Medicinas para bajar la fiebre consumidas            </t>
  </si>
  <si>
    <t>K3_3b</t>
  </si>
  <si>
    <t xml:space="preserve">Medicinas para bajar la fiebre recetadas              </t>
  </si>
  <si>
    <t>K3_4a</t>
  </si>
  <si>
    <t>Reconstituyentes como vitaminas, minerales, tónicos consumidos</t>
  </si>
  <si>
    <t>K3_4b</t>
  </si>
  <si>
    <t>Reconstituyentes como vitaminas, minerales, tónicos recetados</t>
  </si>
  <si>
    <t>K3_5a</t>
  </si>
  <si>
    <t>Laxantes consumidos</t>
  </si>
  <si>
    <t>K3_5b</t>
  </si>
  <si>
    <t>Laxantes recetados</t>
  </si>
  <si>
    <t>K3_6a</t>
  </si>
  <si>
    <t>Antibióticos consumidos</t>
  </si>
  <si>
    <t>K3_6b</t>
  </si>
  <si>
    <t>Antibióticos recetados</t>
  </si>
  <si>
    <t>K3_7a</t>
  </si>
  <si>
    <t>Tranquilizantes, relajantes, pastillas para dormir consumidos</t>
  </si>
  <si>
    <t>K3_7b</t>
  </si>
  <si>
    <t>Tranquilizantes, relajantes, pastillas para dormir recetados</t>
  </si>
  <si>
    <t>K3_8a</t>
  </si>
  <si>
    <t>Medicamentos para la alergia consumidos</t>
  </si>
  <si>
    <t>K3_8b</t>
  </si>
  <si>
    <t>Medicamentos para la alergia recetados</t>
  </si>
  <si>
    <t>K3_9a</t>
  </si>
  <si>
    <t>Medicamentos para la diarrea consumidos</t>
  </si>
  <si>
    <t>K3_9b</t>
  </si>
  <si>
    <t>Medicamentos para la diarrea recetados</t>
  </si>
  <si>
    <t>K3_10a</t>
  </si>
  <si>
    <t>Medicinas para el reuma consumidas</t>
  </si>
  <si>
    <t>K3_10b</t>
  </si>
  <si>
    <t>Medicinas para el reuma recetadas</t>
  </si>
  <si>
    <t>K3_11a</t>
  </si>
  <si>
    <t>Medicinas para el corazón consumidas</t>
  </si>
  <si>
    <t>K3_11b</t>
  </si>
  <si>
    <t>Medicinas para el corazón recetadas</t>
  </si>
  <si>
    <t>K3_12a</t>
  </si>
  <si>
    <t>Medicinas para la tensión arterial consumidas</t>
  </si>
  <si>
    <t>K3_12b</t>
  </si>
  <si>
    <t>Medicinas para la tensión arterial recetadas</t>
  </si>
  <si>
    <t>K3_13a</t>
  </si>
  <si>
    <t>Medicinas para el estómago y/o las alteraciones digestivas consumidas</t>
  </si>
  <si>
    <t>K3_13b</t>
  </si>
  <si>
    <t>Medicinas para el estómago y/o las alteraciones digestivas recetadas</t>
  </si>
  <si>
    <t>K3_14a</t>
  </si>
  <si>
    <t>Antidepresivos, estimulantes consumidos</t>
  </si>
  <si>
    <t>K3_14b</t>
  </si>
  <si>
    <t>Antidepresivos, estimulantes recetados</t>
  </si>
  <si>
    <t>K3_15a</t>
  </si>
  <si>
    <t>Píldoras para no quedar embarazada consumidas</t>
  </si>
  <si>
    <t>K3_15b</t>
  </si>
  <si>
    <t>Píldoras para no quedar embarazada recetadas</t>
  </si>
  <si>
    <t>K3_16a</t>
  </si>
  <si>
    <t>Hormonas para la menopausia consumidas</t>
  </si>
  <si>
    <t>K3_16b</t>
  </si>
  <si>
    <t xml:space="preserve">Hormonas para la menopausia recetadas  </t>
  </si>
  <si>
    <t>K3_17a</t>
  </si>
  <si>
    <t>Medicamentos para adelgazar consumidos</t>
  </si>
  <si>
    <t>K3_17b</t>
  </si>
  <si>
    <t>Medicamentos para adelgazar recetados</t>
  </si>
  <si>
    <t>K3_18a</t>
  </si>
  <si>
    <t>Medicamentos para bajar el colesterol consumidos</t>
  </si>
  <si>
    <t>K3_18b</t>
  </si>
  <si>
    <t>Medicamentos para bajar el colesterol recetados</t>
  </si>
  <si>
    <t>K3_19a</t>
  </si>
  <si>
    <t>Medicamentos para la diabetes consumidos</t>
  </si>
  <si>
    <t>K3_19b</t>
  </si>
  <si>
    <t>Medicamentos para la diabetes recetados</t>
  </si>
  <si>
    <t>K3_20a</t>
  </si>
  <si>
    <t>Medicamentos para el tiroides consumidos</t>
  </si>
  <si>
    <t>K3_20b</t>
  </si>
  <si>
    <t>Medicamentos para el tiroides recetados</t>
  </si>
  <si>
    <t>K3_21a</t>
  </si>
  <si>
    <t>Productos homeopáticos consumidos</t>
  </si>
  <si>
    <t>K3_21b</t>
  </si>
  <si>
    <t>Productos homeopáticos recetados</t>
  </si>
  <si>
    <t>K3_22a</t>
  </si>
  <si>
    <t>Productos naturistas consumidos</t>
  </si>
  <si>
    <t>K3_22b</t>
  </si>
  <si>
    <t>Productos naturistas recetados</t>
  </si>
  <si>
    <t>K3_23a</t>
  </si>
  <si>
    <t>Otros medicamentos consumidos</t>
  </si>
  <si>
    <t>K3_23b</t>
  </si>
  <si>
    <t>Otros medicamentos recetados</t>
  </si>
  <si>
    <t>L1</t>
  </si>
  <si>
    <t>Vacunación de la gripe en la última campaña</t>
  </si>
  <si>
    <t>L. PRÁCTICAS PREVENTIVAS</t>
  </si>
  <si>
    <t>L4</t>
  </si>
  <si>
    <t>Toma de tensión arterial alguna vez por un profesional sanitario</t>
  </si>
  <si>
    <t>L5</t>
  </si>
  <si>
    <t>T5L</t>
  </si>
  <si>
    <t>Tiempo que hace de la última toma de tensión arterial</t>
  </si>
  <si>
    <t>L6</t>
  </si>
  <si>
    <t>Medición del nivel de colesterol en sangre</t>
  </si>
  <si>
    <t>L7</t>
  </si>
  <si>
    <t>T7L</t>
  </si>
  <si>
    <t>Tiempo que hace de la última medición de colesterol</t>
  </si>
  <si>
    <t>L8</t>
  </si>
  <si>
    <t>Medición del nivel de azúcar en sangre por un profesional sanitario</t>
  </si>
  <si>
    <t>L9</t>
  </si>
  <si>
    <t>Tiempo que hace de la última medición de azúcar en sangre</t>
  </si>
  <si>
    <t>L10</t>
  </si>
  <si>
    <t>¿Alguna vez le han hecho una prueba de sangre oculta en heces?</t>
  </si>
  <si>
    <t>L11</t>
  </si>
  <si>
    <t>Tiempo que hace de la última prueba de sangre oculta en heces</t>
  </si>
  <si>
    <t>L12</t>
  </si>
  <si>
    <t>¿Le han realizado alguna vez una colonoscopia?</t>
  </si>
  <si>
    <t>L13</t>
  </si>
  <si>
    <t>T13L</t>
  </si>
  <si>
    <t>Tiempo que hace de la última colonoscopia</t>
  </si>
  <si>
    <t>L14</t>
  </si>
  <si>
    <t>¿Alguna vez le han hecho una mamografía?</t>
  </si>
  <si>
    <t>L15</t>
  </si>
  <si>
    <t>T15L</t>
  </si>
  <si>
    <t>Tiempo que hace de la última mamografía</t>
  </si>
  <si>
    <t>L16</t>
  </si>
  <si>
    <t>¿Alguna vez le han hecho una citología vaginal?</t>
  </si>
  <si>
    <t>L17</t>
  </si>
  <si>
    <t>Tiempo que hace de la última citología</t>
  </si>
  <si>
    <t>L18</t>
  </si>
  <si>
    <t>Prueba del vierus de papiloma humano</t>
  </si>
  <si>
    <t>L19</t>
  </si>
  <si>
    <t>Tiempo que hace de la ultima prueba de VPH</t>
  </si>
  <si>
    <t>M1</t>
  </si>
  <si>
    <t>T1M</t>
  </si>
  <si>
    <t>Falta de asistencia médica debido a listas de espera en los últimos 12 meses</t>
  </si>
  <si>
    <t>M. NECESIDADES DE ATENCIÓN MÉDICA NO CUBIERTAS</t>
  </si>
  <si>
    <t>M2</t>
  </si>
  <si>
    <t>Falta de asistencia médica debido a problemas de transporte en los últimos 12 meses</t>
  </si>
  <si>
    <t>M3_1</t>
  </si>
  <si>
    <t>T3_1M</t>
  </si>
  <si>
    <t>Falta de atención sanitaria debido a problemas económicos en los últimos 12 meses: Atención médica</t>
  </si>
  <si>
    <t>M3_2</t>
  </si>
  <si>
    <t>Falta de atención sanitaria debido a problemas económicos en los últimos 12 meses: Atención dental</t>
  </si>
  <si>
    <t>M3_3</t>
  </si>
  <si>
    <t>Falta de atención sanitaria debido a problemas económicos en los últimos 12 meses: Algún medicamento que le habían recetado</t>
  </si>
  <si>
    <t>M3_4</t>
  </si>
  <si>
    <t>Falta de atención sanitaria debido a problemas económicos en los últimos 12 meses: Atención de salud mental</t>
  </si>
  <si>
    <t>N1</t>
  </si>
  <si>
    <t>Altura en cm (50 a 220)</t>
  </si>
  <si>
    <t>N. CARACTERÍSTICAS FÍSICAS</t>
  </si>
  <si>
    <t>N2</t>
  </si>
  <si>
    <t>Peso en kg (25 a 180)</t>
  </si>
  <si>
    <t>O1</t>
  </si>
  <si>
    <t>T1O</t>
  </si>
  <si>
    <t>Tipo de actividad física que realiza en la actividad principal</t>
  </si>
  <si>
    <t>O. ACTIVIDAD FÍSICA</t>
  </si>
  <si>
    <t>O2</t>
  </si>
  <si>
    <t>T2O</t>
  </si>
  <si>
    <t>Frecuencia con la que realiza alguna actividad física en su tiempo libre</t>
  </si>
  <si>
    <t>O3</t>
  </si>
  <si>
    <t>N_9NC</t>
  </si>
  <si>
    <t>Forma de llegar a los sitios: Número de días en que camina al menos 10 minutos seguidos
0 a 7</t>
  </si>
  <si>
    <t>O4</t>
  </si>
  <si>
    <t>T4O</t>
  </si>
  <si>
    <t>Forma de llegar a los sitios: Tiempo dedicado a caminar para desplazarse en un día habitual</t>
  </si>
  <si>
    <t>O5</t>
  </si>
  <si>
    <t>Forma de llegar a los sitios: Número de días en que utiliza la bicicleta al menos 10 minutos seguidos
0 a7</t>
  </si>
  <si>
    <t>O6</t>
  </si>
  <si>
    <t>Forma de llegar a los sitios: Tiempo empleado en la bicicleta para desplazarse en un día habitual</t>
  </si>
  <si>
    <t>O7</t>
  </si>
  <si>
    <t>Ejercicio físico en tiempo de ocio: Número de días en que practica deporte al menos 10 minutos seguidos</t>
  </si>
  <si>
    <t>O8_1</t>
  </si>
  <si>
    <t>Ejercicio físico en tiempo de ocio: Tiempo (en horas) dedicado a hacer deporte en una semana habitual
00 a 90</t>
  </si>
  <si>
    <t>O8_2</t>
  </si>
  <si>
    <t>Ejercicio físico en tiempo de ocio: Tiempo (en minutos) dedicado a hacer deporte en una semana habitual
00 a 59</t>
  </si>
  <si>
    <t>O9</t>
  </si>
  <si>
    <t>Ejercicio físico en tiempo de ocio: Número de días en que realiza actividades destinadas a fortalecer los músculos
0 a 7</t>
  </si>
  <si>
    <t>O10_1</t>
  </si>
  <si>
    <t xml:space="preserve">Sedentarismo : tiempo que permanece sentado a lo largo de un día normal. Horas </t>
  </si>
  <si>
    <t>O10_2</t>
  </si>
  <si>
    <t>Sedentarismo : tiempo que permanece sentado a lo largo de un día normal. Minutos</t>
  </si>
  <si>
    <t>P1_1</t>
  </si>
  <si>
    <t>T1_1P</t>
  </si>
  <si>
    <t>Frecuencia de consumo de fruta fresca (excluyendo zumos)</t>
  </si>
  <si>
    <t>P. ALIMENTACIÓN</t>
  </si>
  <si>
    <t>P1_1a</t>
  </si>
  <si>
    <t>Consumo de fruta fresca (excluyendo zumos): Cantidad (01 a 10)</t>
  </si>
  <si>
    <t>P1_2</t>
  </si>
  <si>
    <t>Frecuencia de consumo de carne (pollo, ternera, cerdo, cordero, etc.)</t>
  </si>
  <si>
    <t>P1_3</t>
  </si>
  <si>
    <t xml:space="preserve">Frecuencia de consumo de huevos </t>
  </si>
  <si>
    <t>P1_4</t>
  </si>
  <si>
    <t>Frecuencia de consumo de pescado</t>
  </si>
  <si>
    <t>P1_5</t>
  </si>
  <si>
    <t>Frecuencia de consumo de pasta, arroz, patatas</t>
  </si>
  <si>
    <t>P1_6</t>
  </si>
  <si>
    <t xml:space="preserve">Frecuencia de consumo de pan, cereales  </t>
  </si>
  <si>
    <t>P1_7</t>
  </si>
  <si>
    <t>Frecuencia de consumo de verduras, ensaladas y hortalizas</t>
  </si>
  <si>
    <t>P1_7a</t>
  </si>
  <si>
    <t>Consumo de verduras, ensaladas y hortalizas: Cantidad
01 a 10</t>
  </si>
  <si>
    <t>P1_8</t>
  </si>
  <si>
    <t>Frecuencia de consumo de legumbres</t>
  </si>
  <si>
    <t>P1_9</t>
  </si>
  <si>
    <t>Frecuencia de consumo de embutidos y fiambres</t>
  </si>
  <si>
    <t>P1_10</t>
  </si>
  <si>
    <t>Frecuencia de consumo de productos lácteos (leche, queso, yogur)</t>
  </si>
  <si>
    <t>P1_11</t>
  </si>
  <si>
    <t>Frecuencia de consumo de dulces (galletas, bollería, mermeladas, etc.)</t>
  </si>
  <si>
    <t>P1_12</t>
  </si>
  <si>
    <t xml:space="preserve">Frecuencia de consumo de refrescos con azúcar </t>
  </si>
  <si>
    <t>P1_13</t>
  </si>
  <si>
    <t>Frecuencia de consumo de comida rápida (pollo frito, bocadillos, pizzas, hamburguesas)</t>
  </si>
  <si>
    <t>P1_14</t>
  </si>
  <si>
    <t>Frecuencia de consumo de aperitivos o comidas saladas de picar (patatas fritas, ganchitos, galletitas saladas)</t>
  </si>
  <si>
    <t>P1_15</t>
  </si>
  <si>
    <t>Frecuencia de consumo de zumo natural de frutas o verduras</t>
  </si>
  <si>
    <t>P1_15a</t>
  </si>
  <si>
    <t>Consumo de zumo natural de frutas o verduras: Cantidad
01 a 10</t>
  </si>
  <si>
    <t>P2</t>
  </si>
  <si>
    <t>Frecuencia diaria de consumo de fruta fresca o zumos naturales</t>
  </si>
  <si>
    <t>P3</t>
  </si>
  <si>
    <t>Consumo de fruta fresca o zumo natural de frutas o verduras: Cantidad
01 a 10</t>
  </si>
  <si>
    <t>Q1</t>
  </si>
  <si>
    <t>T1Q</t>
  </si>
  <si>
    <t>¿Fuma actualmente?</t>
  </si>
  <si>
    <t>Q. CONSUMO DE TABACO Y EXPOSICIÓN AL HUMO DE TABACO</t>
  </si>
  <si>
    <t>Q2</t>
  </si>
  <si>
    <t>Fumadores a diario: Número de cigarrillos que fuma al día
01 a 90</t>
  </si>
  <si>
    <t>Q3</t>
  </si>
  <si>
    <t>Fumadores a diario: Edad en que comenzó a fumar
06 a 90</t>
  </si>
  <si>
    <t>Q4</t>
  </si>
  <si>
    <t>Ex fumador diario</t>
  </si>
  <si>
    <t>Q5</t>
  </si>
  <si>
    <t>Fumador o ex fumador diario: tiempo como fumador  (doble enunciado)</t>
  </si>
  <si>
    <t>Q6</t>
  </si>
  <si>
    <t>T6Q</t>
  </si>
  <si>
    <t>Frecuencia de exposición a ambientes de humo en lugares cerrados</t>
  </si>
  <si>
    <t>Q6a</t>
  </si>
  <si>
    <t>T6aQ</t>
  </si>
  <si>
    <t>Frecuencia diaria  exposición a ambientes de humo en lugares cerrados</t>
  </si>
  <si>
    <t>Q7</t>
  </si>
  <si>
    <t>T7Q</t>
  </si>
  <si>
    <t>Uso cigarrillos o aparatos electrónicos</t>
  </si>
  <si>
    <t>Q8</t>
  </si>
  <si>
    <t>T8Q</t>
  </si>
  <si>
    <t xml:space="preserve">Frecuencia uso cigarrillos electronicos o similares </t>
  </si>
  <si>
    <t>R1</t>
  </si>
  <si>
    <t>T1R</t>
  </si>
  <si>
    <t>Frecuencia de consumo de alcohol en los últimos 12 meses</t>
  </si>
  <si>
    <t>R. CONSUMO DE ALCOHOL</t>
  </si>
  <si>
    <t>R2cer</t>
  </si>
  <si>
    <t>Consumo de cerveza con alcohol</t>
  </si>
  <si>
    <t>R2cer_1</t>
  </si>
  <si>
    <t>Consumo de cerveza con alcohol: Lunes (00 a 50)</t>
  </si>
  <si>
    <t>R2cer_2</t>
  </si>
  <si>
    <t>Consumo de cerveza con alcohol: Martes 00 a 50</t>
  </si>
  <si>
    <t>R2cer_3</t>
  </si>
  <si>
    <t>Consumo de cerveza con alcohol: Miércoles (00 a 50)</t>
  </si>
  <si>
    <t>R2cer_4</t>
  </si>
  <si>
    <t>Consumo de cerveza con alcohol: Jueves (00 a 50)</t>
  </si>
  <si>
    <t>R2cer_5</t>
  </si>
  <si>
    <t>Consumo de cerveza con alcohol: Viernes
 (00 a 50)</t>
  </si>
  <si>
    <t>R2cer_6</t>
  </si>
  <si>
    <t xml:space="preserve">Consumo de cerveza con alcohol: Sábado (00 a 50) </t>
  </si>
  <si>
    <t>R2cer_7</t>
  </si>
  <si>
    <t>Consumo de cerveza con alcohol: Domingo (00 a 50)</t>
  </si>
  <si>
    <t>R2vin</t>
  </si>
  <si>
    <t>Consumo de vinos, cava</t>
  </si>
  <si>
    <t>R2vin_1</t>
  </si>
  <si>
    <t>Consumo de vinos, cava: Lunes (00 a 50)</t>
  </si>
  <si>
    <t>R2vin_2</t>
  </si>
  <si>
    <t>Consumo de vinos, cava: Martes (00 a 50)</t>
  </si>
  <si>
    <t>R2vin_3</t>
  </si>
  <si>
    <t>Consumo de vinos, cava: Miércoles (00 a 50)</t>
  </si>
  <si>
    <t>R2vin_4</t>
  </si>
  <si>
    <t>Consumo de vinos, cava: Jueves
 (00 a 50)</t>
  </si>
  <si>
    <t>R2vin_5</t>
  </si>
  <si>
    <t>Consumo de vinos, cava: Viernes
 (00 a 50)</t>
  </si>
  <si>
    <t>R2vin_6</t>
  </si>
  <si>
    <t>Consumo de vinos, cava: Sábado
 (00 a 50)</t>
  </si>
  <si>
    <t>R2vin_7</t>
  </si>
  <si>
    <t>Consumo de vinos, cava: Domingo
 (00 a 50)</t>
  </si>
  <si>
    <t>R2vermut</t>
  </si>
  <si>
    <t>Consumo de vermuts, fino, jerez</t>
  </si>
  <si>
    <t>R2vermut_1</t>
  </si>
  <si>
    <t>Consumo de vermuts, fino, jerez: Lunes
 (00 a 30)</t>
  </si>
  <si>
    <t>R2vermut_2</t>
  </si>
  <si>
    <t>Consumo de vermuts, fino, jerez: Martes
 (00 a 30)</t>
  </si>
  <si>
    <t>R2vermut_3</t>
  </si>
  <si>
    <t>Consumo de vermuts, fino, jerez: Miércoles
 (00 a 30)</t>
  </si>
  <si>
    <t>R2vermut_4</t>
  </si>
  <si>
    <t>Consumo de vermuts, fino, jerez: Jueves
 (00 a 30)</t>
  </si>
  <si>
    <t>R2vermut_5</t>
  </si>
  <si>
    <t>Consumo de vermuts, fino, jerez: Viernes
 (00 a 30)</t>
  </si>
  <si>
    <t>R2vermut_6</t>
  </si>
  <si>
    <t>Consumo de vermuts, fino, jerez: Sábado
 (00 a 30)</t>
  </si>
  <si>
    <t>R2vermut_7</t>
  </si>
  <si>
    <t>Consumo de vermuts, fino, jerez: Domingo
00 a 30</t>
  </si>
  <si>
    <t>R2lic</t>
  </si>
  <si>
    <t>Consumo de licores, anís, pacharán</t>
  </si>
  <si>
    <t>R2lic_1</t>
  </si>
  <si>
    <t>Consumo de licores, anís, pacharán: Lunes
00 a 30</t>
  </si>
  <si>
    <t>R2lic_2</t>
  </si>
  <si>
    <t>Consumo de licores, anís, pacharán: Martes
00 a 30</t>
  </si>
  <si>
    <t>R2lic_3</t>
  </si>
  <si>
    <t>Consumo de licores, anís, pacharán: Miércoles
00 a 30</t>
  </si>
  <si>
    <t>R2lic_4</t>
  </si>
  <si>
    <t>Consumo de licores, anís, pacharán: Jueves
00 a 30</t>
  </si>
  <si>
    <t>R2lic_5</t>
  </si>
  <si>
    <t>Consumo de licores, anís, pacharán: Viernes
00 a 30</t>
  </si>
  <si>
    <t>R2lic_6</t>
  </si>
  <si>
    <t>Consumo de licores, anís, pacharán: Sábado
00 a 30</t>
  </si>
  <si>
    <t>R2lic_7</t>
  </si>
  <si>
    <t>Consumo de licores, anís, pacharán: Domingo
00 a 30</t>
  </si>
  <si>
    <t>R2comb</t>
  </si>
  <si>
    <t>Consumo de combinados, bebidas destiladas</t>
  </si>
  <si>
    <t>R2comb_1</t>
  </si>
  <si>
    <t>Consumo de combinados, bebidas destiladas: Lunes
00 a 30</t>
  </si>
  <si>
    <t>R2comb_2</t>
  </si>
  <si>
    <t>Consumo de combinados, bebidas destiladas: Martes
00 a 30</t>
  </si>
  <si>
    <t>R2comb_3</t>
  </si>
  <si>
    <t>Consumo de combinados, bebidas destiladas: Miércoles
00 a 30</t>
  </si>
  <si>
    <t>R2comb_4</t>
  </si>
  <si>
    <t>Consumo de combinados, bebidas destiladas: Jueves
00 a 30</t>
  </si>
  <si>
    <t>R2comb_5</t>
  </si>
  <si>
    <t>Consumo de combinados, bebidas destiladas: Viernes
00 a 30</t>
  </si>
  <si>
    <t>R2comb_6</t>
  </si>
  <si>
    <t>Consumo de combinados, bebidas destiladas: Sábado
00 a 30</t>
  </si>
  <si>
    <t>R2comb_7</t>
  </si>
  <si>
    <t>Consumo de combinados, bebidas destiladas: Domingo
00 a 30</t>
  </si>
  <si>
    <t>R2sidra</t>
  </si>
  <si>
    <t>Consumo de bebidas locales, sidra, carajillo</t>
  </si>
  <si>
    <t>R2sidra_1</t>
  </si>
  <si>
    <t>Consumo de bebidas locales, sidra, carajillo: Lunes
00 a 30</t>
  </si>
  <si>
    <t>R2sidra_2</t>
  </si>
  <si>
    <t>Consumo de bebidas locales, sidra, carajillo: Martes
00 a 30</t>
  </si>
  <si>
    <t>R2sidra_3</t>
  </si>
  <si>
    <t>Consumo de bebidas locales, sidra, carajillo: Miércoles</t>
  </si>
  <si>
    <t>R2sidra_4</t>
  </si>
  <si>
    <t>Consumo de bebidas locales, sidra, carajillo: Jueves
00 a 30</t>
  </si>
  <si>
    <t>R2sidra_5</t>
  </si>
  <si>
    <t>Consumo de bebidas locales, sidra, carajillo: Viernes
00 a 30</t>
  </si>
  <si>
    <t>R2sidra_6</t>
  </si>
  <si>
    <t>Consumo de bebidas locales, sidra, carajillo: Sábado
00 a 30</t>
  </si>
  <si>
    <t>R2sidra_7</t>
  </si>
  <si>
    <t xml:space="preserve">Consumo de bebidas locales, sidra, carajillo: Domingo
00 a 30
</t>
  </si>
  <si>
    <t>R3</t>
  </si>
  <si>
    <t>T3R</t>
  </si>
  <si>
    <t>Frecuencia de consumo de 5-6 o más bebidas alcohólicas estándar en una misma ocasión durante los últimos 12 meses (doble enunciado)</t>
  </si>
  <si>
    <t>S1</t>
  </si>
  <si>
    <t>T1S</t>
  </si>
  <si>
    <t>En caso de problema personal grave, ¿con cuántas personas podría contar?</t>
  </si>
  <si>
    <t>S. APOYO SOCIAL</t>
  </si>
  <si>
    <t>S2</t>
  </si>
  <si>
    <t>T2S</t>
  </si>
  <si>
    <t>¿En qué medida se interesan otras personas por lo que a usted le pasa?</t>
  </si>
  <si>
    <t>S3</t>
  </si>
  <si>
    <t>T3S</t>
  </si>
  <si>
    <t>¿En qué medida le resulta fácil obtener ayuda de los vecinos en caso de necesidad?</t>
  </si>
  <si>
    <t>T1</t>
  </si>
  <si>
    <t>Cuidado de personas mayores o de alguien que tenga una dolencia crónica al menos una vez a la semana</t>
  </si>
  <si>
    <t>T. CUIDADO A OTRAS PERSONAS CON PROBLEMAS DE SALUD</t>
  </si>
  <si>
    <t>T2</t>
  </si>
  <si>
    <t>T2T</t>
  </si>
  <si>
    <t>Cuidado de personas: Parentesco con el cuidador</t>
  </si>
  <si>
    <t>T3</t>
  </si>
  <si>
    <t>T3T</t>
  </si>
  <si>
    <t>Cuidado de personas: Horas a la semana dedicadas en total</t>
  </si>
  <si>
    <t>FACTORADULTO</t>
  </si>
  <si>
    <t>Factor de elevación del adulto (5 enteros, 3 decimales)</t>
  </si>
  <si>
    <t>VARIABLES DERIVADAS</t>
  </si>
  <si>
    <t>CLASE_PR</t>
  </si>
  <si>
    <t>T_CLASE</t>
  </si>
  <si>
    <t>Variable derivada: Clase social basada en la ocupación de la persona de referencia</t>
  </si>
  <si>
    <t>IMC</t>
  </si>
  <si>
    <t>T_IMC</t>
  </si>
  <si>
    <t xml:space="preserve">Variable derivada: Índice de masa corporal (IMC) </t>
  </si>
  <si>
    <t>CMD1</t>
  </si>
  <si>
    <t xml:space="preserve">Variable derivada: Consumo medio diario de alcohol semanal (lunes a domingo)
000 a 300 (3 enteros, 2 decimales)
</t>
  </si>
  <si>
    <t>CMD2</t>
  </si>
  <si>
    <t xml:space="preserve">Variable derivada: Consumo medio diario de alcohol entre semana (lunes a jueves)
000 a 300 (3 enteros, 2 decimales)
</t>
  </si>
  <si>
    <t>CMD3</t>
  </si>
  <si>
    <t xml:space="preserve">Variable derivada: Consumo medio diario de alcohol en fin de semana (viernes a domingo)
000 a 300 (3 enteros, 2 decimales)
</t>
  </si>
  <si>
    <t>INDICE_BIENESTAR</t>
  </si>
  <si>
    <t>Tablas 4</t>
  </si>
  <si>
    <t xml:space="preserve">Variable derivada: Indice de bienestar general </t>
  </si>
  <si>
    <t>SEVERIDAD_DEPRESIVA</t>
  </si>
  <si>
    <t>TSEVERI</t>
  </si>
  <si>
    <t>Variable derivada: Severidad de la sintomatología depresiva</t>
  </si>
  <si>
    <t>CUADROS_DEPRESIVOS</t>
  </si>
  <si>
    <t>TPREVAL</t>
  </si>
  <si>
    <t>Variable derivada: Prevalencia de cuadros depresivos activos</t>
  </si>
  <si>
    <t>*** TOTAL ***</t>
  </si>
  <si>
    <t>(b) Admite blanco por flujo</t>
  </si>
  <si>
    <t xml:space="preserve">En hoja -Diseño-. Variables: </t>
  </si>
  <si>
    <t>TipoFormato</t>
  </si>
  <si>
    <t xml:space="preserve">Código </t>
  </si>
  <si>
    <t>01</t>
  </si>
  <si>
    <t>Andalucía</t>
  </si>
  <si>
    <t>02</t>
  </si>
  <si>
    <t>Aragón</t>
  </si>
  <si>
    <t>03</t>
  </si>
  <si>
    <t>Asturias, Principado de</t>
  </si>
  <si>
    <t>04</t>
  </si>
  <si>
    <t>Balears, Illes</t>
  </si>
  <si>
    <t>05</t>
  </si>
  <si>
    <t>Canarias</t>
  </si>
  <si>
    <t>06</t>
  </si>
  <si>
    <t>Cantabria</t>
  </si>
  <si>
    <t>07</t>
  </si>
  <si>
    <t>Castilla y León</t>
  </si>
  <si>
    <t>08</t>
  </si>
  <si>
    <t>Castilla - La Mancha</t>
  </si>
  <si>
    <t>09</t>
  </si>
  <si>
    <t>Cataluña</t>
  </si>
  <si>
    <t>10</t>
  </si>
  <si>
    <t>Comunitat Valenciana</t>
  </si>
  <si>
    <t>11</t>
  </si>
  <si>
    <t>Extremadura</t>
  </si>
  <si>
    <t>12</t>
  </si>
  <si>
    <t>Galicia</t>
  </si>
  <si>
    <t>13</t>
  </si>
  <si>
    <t>Madrid, Comunidad de</t>
  </si>
  <si>
    <t>14</t>
  </si>
  <si>
    <t>Murcia, Región de</t>
  </si>
  <si>
    <t>15</t>
  </si>
  <si>
    <t>Navarra, Comunidad Foral de</t>
  </si>
  <si>
    <t>16</t>
  </si>
  <si>
    <t>País Vasco</t>
  </si>
  <si>
    <t>17</t>
  </si>
  <si>
    <t>Rioja, La</t>
  </si>
  <si>
    <t>18</t>
  </si>
  <si>
    <t>Ceuta</t>
  </si>
  <si>
    <t>19</t>
  </si>
  <si>
    <t>Melilla</t>
  </si>
  <si>
    <t>SEXOa *** (1 veces más)</t>
  </si>
  <si>
    <t>Hombre</t>
  </si>
  <si>
    <t>Mujer</t>
  </si>
  <si>
    <t>B2 *** (215 veces más)</t>
  </si>
  <si>
    <t>Sí</t>
  </si>
  <si>
    <t>No</t>
  </si>
  <si>
    <t>No contesta</t>
  </si>
  <si>
    <t>La persona seleccionada está ingresada en un sanatorio, hospital, etc., a causa de una enfermedad</t>
  </si>
  <si>
    <t>La persona seleccionada está incapacitada para contestar por discapacidad, enfermedad grave, etc.</t>
  </si>
  <si>
    <t>La persona seleccionada está incapacitada para contestar por causa del idioma</t>
  </si>
  <si>
    <t>Cónyuge o pareja</t>
  </si>
  <si>
    <t>Hijo/a</t>
  </si>
  <si>
    <t>Padre/Madre</t>
  </si>
  <si>
    <t>Hermano/Hermana</t>
  </si>
  <si>
    <t>Otros familiares</t>
  </si>
  <si>
    <t>Servicios sociales</t>
  </si>
  <si>
    <t>Voluntarios</t>
  </si>
  <si>
    <t>Otra relación</t>
  </si>
  <si>
    <t>A1a *** (2 veces más)</t>
  </si>
  <si>
    <t>Nacidos en España</t>
  </si>
  <si>
    <t>Nacidos en el extranjero</t>
  </si>
  <si>
    <t>PROXY_0 *** (8 veces más)</t>
  </si>
  <si>
    <t>Conviviendo con su cónyuge</t>
  </si>
  <si>
    <t>Conviviendo con una pareja de hecho</t>
  </si>
  <si>
    <t>No conviviendo en pareja</t>
  </si>
  <si>
    <t>Soltero/a</t>
  </si>
  <si>
    <t>Casado/a</t>
  </si>
  <si>
    <t>Viudo/a</t>
  </si>
  <si>
    <t>Separado/a legalmente</t>
  </si>
  <si>
    <t>Divorciado/a</t>
  </si>
  <si>
    <t>No procede, es menor de 10 años</t>
  </si>
  <si>
    <t>No sabe leer o escribir</t>
  </si>
  <si>
    <t>Educación Primaria incompleta (Ha asistido menos de 5 años a la escuela)</t>
  </si>
  <si>
    <t>Educación Primaria completa</t>
  </si>
  <si>
    <t>Primera etapa de Enseñanza Secundaria, con o sin título (2º ESO aprobado, EGB, Bachillerato Elemental)</t>
  </si>
  <si>
    <t>Estudios de Bachillerato</t>
  </si>
  <si>
    <t>Enseñanzas profesionales de grado medio o equivalentes</t>
  </si>
  <si>
    <t>Enseñanzas profesionales de grado superior o equivalentes</t>
  </si>
  <si>
    <t>Estudios universitarios o equivalentes</t>
  </si>
  <si>
    <t>Sí, por cotización propia</t>
  </si>
  <si>
    <t>Sí, por cotización de otra persona (pensiones de viudedad, orfandad, etc.)</t>
  </si>
  <si>
    <t>Sí, por ambos tipos de cotización</t>
  </si>
  <si>
    <t>Asalariado/a (a sueldo, comisión, jornal...)</t>
  </si>
  <si>
    <t>Empresario/a o profesional con asalariados</t>
  </si>
  <si>
    <t>Empresario/a sin asalariados o trabajador/a independiente</t>
  </si>
  <si>
    <t>Ayuda familiar (sin remuneración reglamentada en la empresa o negocio de un familiar)</t>
  </si>
  <si>
    <t>Miembro de una cooperativa</t>
  </si>
  <si>
    <t>Otra situación</t>
  </si>
  <si>
    <t>No ha trabajado nunca</t>
  </si>
  <si>
    <t>Menos de 6 meses</t>
  </si>
  <si>
    <t>De 6 meses a menos de 1 año</t>
  </si>
  <si>
    <t>De 1 año a menos de 2 años</t>
  </si>
  <si>
    <t>Más de 2 años</t>
  </si>
  <si>
    <t>Funcionario/a</t>
  </si>
  <si>
    <t>Duración indefinida</t>
  </si>
  <si>
    <t>Temporal</t>
  </si>
  <si>
    <t>Verbal o sin contrato</t>
  </si>
  <si>
    <t>Menor de 6 meses</t>
  </si>
  <si>
    <t>De 2 años o más</t>
  </si>
  <si>
    <t>Sin duración definida</t>
  </si>
  <si>
    <t>Sí, de 1 a 4 personas</t>
  </si>
  <si>
    <t>Sí, de 5 a 10 personas</t>
  </si>
  <si>
    <t>Sí, de 11 a 20 personas</t>
  </si>
  <si>
    <t>Sí, más de 20 personas</t>
  </si>
  <si>
    <t>A tiempo completo</t>
  </si>
  <si>
    <t>A tiempo parcial</t>
  </si>
  <si>
    <t>Jornada partida</t>
  </si>
  <si>
    <t>Jornada continua por la mañana</t>
  </si>
  <si>
    <t>Jornada continua por la tarde</t>
  </si>
  <si>
    <t>Jornada continua por la noche</t>
  </si>
  <si>
    <t>Jornada reducida</t>
  </si>
  <si>
    <t>Turnos</t>
  </si>
  <si>
    <t>Jornada irregular o variable según los días</t>
  </si>
  <si>
    <t>Otro tipo</t>
  </si>
  <si>
    <t>Muy bueno</t>
  </si>
  <si>
    <t>Bueno</t>
  </si>
  <si>
    <t>Regular</t>
  </si>
  <si>
    <t>Malo</t>
  </si>
  <si>
    <t>Muy malo</t>
  </si>
  <si>
    <t>Gravemente limitado/a</t>
  </si>
  <si>
    <t>Limitado/a, pero no gravemente</t>
  </si>
  <si>
    <t>Nada limitado/a</t>
  </si>
  <si>
    <t>Físico</t>
  </si>
  <si>
    <t>Mental</t>
  </si>
  <si>
    <t>Ambos</t>
  </si>
  <si>
    <t>Ingresó en un hospital</t>
  </si>
  <si>
    <t>Acudió a un centro de urgencias</t>
  </si>
  <si>
    <t>Consultó a un médico/a o enfermero/a</t>
  </si>
  <si>
    <t>No hizo ninguna consulta ni intervención</t>
  </si>
  <si>
    <t>Soy ciego o no puedo ver en absoluto</t>
  </si>
  <si>
    <t>No, ninguna dificultad</t>
  </si>
  <si>
    <t>Sí, alguna dificultad</t>
  </si>
  <si>
    <t>Sí, mucha dificultad</t>
  </si>
  <si>
    <t>No puedo ver en absoluto</t>
  </si>
  <si>
    <t>Soy sordo profundo</t>
  </si>
  <si>
    <t>F4 *** (12 veces más)</t>
  </si>
  <si>
    <t>No puedo hacerlo en absoluto</t>
  </si>
  <si>
    <t>No aplicable (nunca lo ha intentado o necesitado hacerlo)</t>
  </si>
  <si>
    <t>G1_1 *** (4 veces más)</t>
  </si>
  <si>
    <t>No puedo hacerlo por mí mismo</t>
  </si>
  <si>
    <t>G2 *** (3 veces más)</t>
  </si>
  <si>
    <t>Sí, al menos para una actividad</t>
  </si>
  <si>
    <t>Ninguno</t>
  </si>
  <si>
    <t>Muy leve</t>
  </si>
  <si>
    <t>Leve</t>
  </si>
  <si>
    <t>Moderado</t>
  </si>
  <si>
    <t>Severo</t>
  </si>
  <si>
    <t>Extremo</t>
  </si>
  <si>
    <t>Nada</t>
  </si>
  <si>
    <t>Un poco</t>
  </si>
  <si>
    <t>Moderadamente</t>
  </si>
  <si>
    <t>Bastante</t>
  </si>
  <si>
    <t>Mucho</t>
  </si>
  <si>
    <t>En las últimas 4 semanas</t>
  </si>
  <si>
    <t>Entre 4 semanas y 12 meses</t>
  </si>
  <si>
    <t>Hace 12 meses o más</t>
  </si>
  <si>
    <t>Nunca</t>
  </si>
  <si>
    <t>Médico de familia o médico general</t>
  </si>
  <si>
    <t>Especialista</t>
  </si>
  <si>
    <t>Centro de Salud / Consultorio</t>
  </si>
  <si>
    <t>Ambulatorio / Centro de especialidades</t>
  </si>
  <si>
    <t>Consulta externa de un hospital</t>
  </si>
  <si>
    <t>Servicio de urgencias no hospitalario</t>
  </si>
  <si>
    <t>Servicio de urgencias de un hospital</t>
  </si>
  <si>
    <t>Consulta de médico de una sociedad</t>
  </si>
  <si>
    <t>Consulta de médico particular</t>
  </si>
  <si>
    <t>Empresa o lugar de trabajo</t>
  </si>
  <si>
    <t>Domicilio del entrevistado</t>
  </si>
  <si>
    <t>Consulta telefónica</t>
  </si>
  <si>
    <t>Otro lugar</t>
  </si>
  <si>
    <t>Diagnóstico de una enfermedad o problema de salud</t>
  </si>
  <si>
    <t>Un accidente o agresión</t>
  </si>
  <si>
    <t>Revisión</t>
  </si>
  <si>
    <t>Sólo dispensación de recetas</t>
  </si>
  <si>
    <t>Parte de baja, confirmación o alta</t>
  </si>
  <si>
    <t>Otros motivos</t>
  </si>
  <si>
    <t>Sanidad Pública (Seguridad Social)</t>
  </si>
  <si>
    <t>Sociedad médica</t>
  </si>
  <si>
    <t>Consulta privada</t>
  </si>
  <si>
    <t>Otros (médico de empresa, etc.)</t>
  </si>
  <si>
    <t>Hace 3 meses o menos</t>
  </si>
  <si>
    <t>Hace más de 3 meses y menos de 6</t>
  </si>
  <si>
    <t>Hace 6 meses o más pero menos de 12</t>
  </si>
  <si>
    <t>Sanidad Pública (Seguridad Social, Ayuntamiento, etc.)</t>
  </si>
  <si>
    <t xml:space="preserve">Otros </t>
  </si>
  <si>
    <t>Intervención quirúrgica</t>
  </si>
  <si>
    <t>Estudio médico para diagnóstico</t>
  </si>
  <si>
    <t>Tratamiento médico sin intervención quirúrgica</t>
  </si>
  <si>
    <t>Parto (incluye cesárea)</t>
  </si>
  <si>
    <t>Mutualidad obligatoria (MUFACE, ISFAS, etc.)</t>
  </si>
  <si>
    <t>Sociedad médica privada</t>
  </si>
  <si>
    <t>A su propio cargo o de su hogar</t>
  </si>
  <si>
    <t>A cargo de otras personas, organismos o instituciones</t>
  </si>
  <si>
    <t>Hospital de la Sanidad Pública (Seguridad Social)</t>
  </si>
  <si>
    <t xml:space="preserve">Centro o servicio de urgencias no hospitalario de la Sanidad Pública (Seguridad Social) </t>
  </si>
  <si>
    <t xml:space="preserve">Sanatorio, hospital o clínica privada </t>
  </si>
  <si>
    <t>Servicio privado de urgencias</t>
  </si>
  <si>
    <t xml:space="preserve">Casa de socorro o servicio de urgencias del ayuntamiento </t>
  </si>
  <si>
    <t xml:space="preserve">Otro tipo de servicio  </t>
  </si>
  <si>
    <t>En los últimos 12 meses</t>
  </si>
  <si>
    <t>Hace 1 año o más pero menos de 2 años</t>
  </si>
  <si>
    <t>Hace 2 años o más pero menos de 3 años</t>
  </si>
  <si>
    <t>Hace 3 años o más pero menos de 5 años</t>
  </si>
  <si>
    <t>Hace 5 años o más</t>
  </si>
  <si>
    <t>Hace 1 año o más pero menos de 3 años</t>
  </si>
  <si>
    <t>Hace 1 año o más pero menos de 5 años</t>
  </si>
  <si>
    <t>Hace 5 años o más pero menos de 10 años</t>
  </si>
  <si>
    <t>Hace 10 años o más</t>
  </si>
  <si>
    <t>Hace 3 años o más</t>
  </si>
  <si>
    <t>M1 *** (1 veces más)</t>
  </si>
  <si>
    <t>No he necesitado asistencia médica</t>
  </si>
  <si>
    <t>M3_1 *** (3 veces más)</t>
  </si>
  <si>
    <t>No lo he necesitado</t>
  </si>
  <si>
    <t>Sentado/a la mayor parte de la jornada</t>
  </si>
  <si>
    <t>De pie la mayor parte de la jornada sin efectuar grandes desplazamientos o esfuerzos</t>
  </si>
  <si>
    <t>Caminando, llevando algún peso, efectuando desplazamientos frecuentes</t>
  </si>
  <si>
    <t>Realizando tareas que requieren gran esfuerzo físico</t>
  </si>
  <si>
    <t>No aplicable</t>
  </si>
  <si>
    <t>No hago ejercicio. El tiempo libre lo ocupo de forma casi completamente sedentaria</t>
  </si>
  <si>
    <t>Hago alguna actividad física o deportiva ocasional</t>
  </si>
  <si>
    <t>Hago actividad física varias veces al mes</t>
  </si>
  <si>
    <t>Hago entrenamiento deportivo o físico varias veces a la semana</t>
  </si>
  <si>
    <t>O4 *** (1 veces más)</t>
  </si>
  <si>
    <r>
      <rPr>
        <sz val="10"/>
        <rFont val="Arial"/>
        <charset val="134"/>
      </rPr>
      <t>De 10 a 29 minutos</t>
    </r>
    <r>
      <rPr>
        <strike/>
        <sz val="10"/>
        <color rgb="FFFF0000"/>
        <rFont val="Arial"/>
        <charset val="134"/>
      </rPr>
      <t xml:space="preserve"> </t>
    </r>
  </si>
  <si>
    <t>De 30 a 59 minutos</t>
  </si>
  <si>
    <t>Una hora o más  pero menos de 2 horas</t>
  </si>
  <si>
    <t>Dos horas o más pero menos de 3 horas</t>
  </si>
  <si>
    <t xml:space="preserve">Tres horas o más </t>
  </si>
  <si>
    <t>P1_1 *** (14 veces más)</t>
  </si>
  <si>
    <t>Una o más veces al día</t>
  </si>
  <si>
    <t>De 4 a 6 veces a la semana</t>
  </si>
  <si>
    <t>Tres veces a la semana</t>
  </si>
  <si>
    <t>Una o dos veces a la semana</t>
  </si>
  <si>
    <t>Menos de una vez a la semana</t>
  </si>
  <si>
    <t>Sí, fumo a diario</t>
  </si>
  <si>
    <t>Sí fumo, pero no a diario</t>
  </si>
  <si>
    <t>No fumo actualmente, pero he fumado antes</t>
  </si>
  <si>
    <t>No fumo ni he fumado nunca de manera habitual</t>
  </si>
  <si>
    <t>Nunca o casi nunca</t>
  </si>
  <si>
    <t>Menos de una hora al día</t>
  </si>
  <si>
    <t>Entre 1 y 5 horas al día</t>
  </si>
  <si>
    <t>Más de 5 horas al día</t>
  </si>
  <si>
    <t xml:space="preserve">Entre 1 y 5 horas al día </t>
  </si>
  <si>
    <t xml:space="preserve">Más de 5 horas al día </t>
  </si>
  <si>
    <t xml:space="preserve">No actualmente, pero sí lo he hecho con anterioridad </t>
  </si>
  <si>
    <t>Diariamente</t>
  </si>
  <si>
    <t>Ocasionalmente</t>
  </si>
  <si>
    <t>A diario o casi a diario</t>
  </si>
  <si>
    <t>5-6 días por semana</t>
  </si>
  <si>
    <t>3-4 días por semana</t>
  </si>
  <si>
    <t>1-2 días por semana</t>
  </si>
  <si>
    <t>2-3 días en un mes</t>
  </si>
  <si>
    <t>Una vez al mes</t>
  </si>
  <si>
    <t>Menos de una vez al mes</t>
  </si>
  <si>
    <t>No en los últimos 12 meses, he dejado de tomar alcohol</t>
  </si>
  <si>
    <t>Nunca o solamente unos sorbos para probarlo a lo largo de toda la vida</t>
  </si>
  <si>
    <t>De 5 a 6 días por semana</t>
  </si>
  <si>
    <t>De 3 a 4 días por semana</t>
  </si>
  <si>
    <t>De 1 a 2 días por semana</t>
  </si>
  <si>
    <t>De 2 a 3 días en un mes</t>
  </si>
  <si>
    <t>No en los últimos 12 meses</t>
  </si>
  <si>
    <t>Nunca en toda mi vida</t>
  </si>
  <si>
    <t>Ninguna</t>
  </si>
  <si>
    <t>Una o dos personas</t>
  </si>
  <si>
    <t>De 3 a 5 personas</t>
  </si>
  <si>
    <t>Más de 5 personas</t>
  </si>
  <si>
    <t>Algo</t>
  </si>
  <si>
    <t>Ni mucho ni poco</t>
  </si>
  <si>
    <t>Poco</t>
  </si>
  <si>
    <t>Muy fácil</t>
  </si>
  <si>
    <t>Fácil</t>
  </si>
  <si>
    <t>Es posible</t>
  </si>
  <si>
    <t>Difícil</t>
  </si>
  <si>
    <t>Muy difícil</t>
  </si>
  <si>
    <t>Familiares</t>
  </si>
  <si>
    <t>Otras personas</t>
  </si>
  <si>
    <t>Menos de 10 horas a la semana</t>
  </si>
  <si>
    <t>10 horas o más a la semana pero menos de 20</t>
  </si>
  <si>
    <t>20 horas o más a la semana</t>
  </si>
  <si>
    <t>Directores/as y gerentes de establecimientos de 10 o más asalariados/as y profesionales tradicionalmente asociados/as a las licenciaturas universitarias</t>
  </si>
  <si>
    <t>Directores/as y gerentes de establecimientos de menos de 10 asalariados/ as y profesionales tradicionalmente asociados/as a diplomaturas universitarias y otros/as profesionales de apoyo técnico. Deportistas y artistas</t>
  </si>
  <si>
    <t>Ocupaciones intermedias y trabajadores/as por cuenta propia</t>
  </si>
  <si>
    <t>Supervisores/as y trabajadores/as en ocupaciones técnicas cualificadas</t>
  </si>
  <si>
    <t>Trabajadores/as cualificados/as del sector primario y otros/as trabajadores/as semi-cualificados/as</t>
  </si>
  <si>
    <t>Trabajadores/as no cualificados/as</t>
  </si>
  <si>
    <t>Peso insuficiente</t>
  </si>
  <si>
    <t>Normopeso</t>
  </si>
  <si>
    <t>Sobrepeso</t>
  </si>
  <si>
    <t>Obesidad</t>
  </si>
  <si>
    <t>No consta</t>
  </si>
  <si>
    <t>Moderada</t>
  </si>
  <si>
    <t>Moderadamente Grave</t>
  </si>
  <si>
    <t>Grave</t>
  </si>
  <si>
    <t>Cuadro depresivo mayor</t>
  </si>
  <si>
    <t>Otros cuadros depresivos</t>
  </si>
  <si>
    <t>Sin cuadro depresivo alguno</t>
  </si>
  <si>
    <t>B4_2 *** (2 veces más)</t>
  </si>
  <si>
    <t>001</t>
  </si>
  <si>
    <t>Oficiales y suboficiales de las fuerzas armadas</t>
  </si>
  <si>
    <t>002</t>
  </si>
  <si>
    <t>Tropa y marinería de las fuerzas armadas</t>
  </si>
  <si>
    <t>111</t>
  </si>
  <si>
    <t>Miembros del poder ejecutivo y de los cuerpos legislativos; directivos de la Administración Pública y organizaciones de interés social</t>
  </si>
  <si>
    <t>112</t>
  </si>
  <si>
    <t>Directores generales y presidentes ejecutivos</t>
  </si>
  <si>
    <t>121</t>
  </si>
  <si>
    <t>Directores de departamentos administrativos</t>
  </si>
  <si>
    <t>122</t>
  </si>
  <si>
    <t>Directores comerciales, de publicidad, relaciones públicas y de investigación y desarrollo</t>
  </si>
  <si>
    <t>131</t>
  </si>
  <si>
    <t>Directores de producción de explotaciones agropecuarias, forestales y pesqueras, y de industrias manufactureras, de minería, construcción y distribución</t>
  </si>
  <si>
    <t>132</t>
  </si>
  <si>
    <t>Directores de servicios de tecnologías de la información y las comunicaciones (TIC) y de empresas de servicios profesionales</t>
  </si>
  <si>
    <t>141</t>
  </si>
  <si>
    <t>Directores y gerentes de empresas de alojamiento</t>
  </si>
  <si>
    <t>142</t>
  </si>
  <si>
    <t>Directores y gerentes de empresas de restauración</t>
  </si>
  <si>
    <t>143</t>
  </si>
  <si>
    <t>Directores y gerentes de empresas de comercio al por mayor y al por menor</t>
  </si>
  <si>
    <t>150</t>
  </si>
  <si>
    <t>Directores y gerentes de otras empresas de servicios no clasificados bajo otros epígrafes</t>
  </si>
  <si>
    <t>211</t>
  </si>
  <si>
    <t>Médicos</t>
  </si>
  <si>
    <t>212</t>
  </si>
  <si>
    <t>Profesionales de enfermería y partería</t>
  </si>
  <si>
    <t>213</t>
  </si>
  <si>
    <t>Veterinarios</t>
  </si>
  <si>
    <t>214</t>
  </si>
  <si>
    <t>Farmacéuticos</t>
  </si>
  <si>
    <t>215</t>
  </si>
  <si>
    <t>Otros profesionales de la salud</t>
  </si>
  <si>
    <t>221</t>
  </si>
  <si>
    <t>Profesores de universidades y otra enseñanza superior (excepto formación profesional)</t>
  </si>
  <si>
    <t>222</t>
  </si>
  <si>
    <t>Profesores de formación profesional (materias específicas)</t>
  </si>
  <si>
    <t>223</t>
  </si>
  <si>
    <t>Profesores de enseñanza secundaria (excepto materias específicas de formación profesional)</t>
  </si>
  <si>
    <t>224</t>
  </si>
  <si>
    <t>Profesores de enseñanza primaria</t>
  </si>
  <si>
    <t>225</t>
  </si>
  <si>
    <t>Maestros y educadores de enseñanza infantil</t>
  </si>
  <si>
    <t>231</t>
  </si>
  <si>
    <t>Profesores y técnicos de educación especial</t>
  </si>
  <si>
    <t>232</t>
  </si>
  <si>
    <t>Otros profesores y profesionales de la enseñanza</t>
  </si>
  <si>
    <t>241</t>
  </si>
  <si>
    <t>Físicos, químicos, matemáticos y afines</t>
  </si>
  <si>
    <t>242</t>
  </si>
  <si>
    <t>Profesionales en ciencias naturales</t>
  </si>
  <si>
    <t>243</t>
  </si>
  <si>
    <t>Ingenieros (excepto ingenieros agrónomos, de montes, eléctricos, electrónicos y TIC)</t>
  </si>
  <si>
    <t>244</t>
  </si>
  <si>
    <t>Ingenieros eléctricos, electrónicos y de telecomunicaciones</t>
  </si>
  <si>
    <t>245</t>
  </si>
  <si>
    <t>Arquitectos, urbanistas e ingenieros geógrafos</t>
  </si>
  <si>
    <t>246</t>
  </si>
  <si>
    <t>Ingenieros técnicos (excepto agrícolas, forestales, eléctricos, electrónicos y TIC)</t>
  </si>
  <si>
    <t>247</t>
  </si>
  <si>
    <t>Ingenieros técnicos en electricidad, electrónica y telecomunicaciones</t>
  </si>
  <si>
    <t>248</t>
  </si>
  <si>
    <t>Arquitectos técnicos, topógrafos y diseñadores</t>
  </si>
  <si>
    <t>251</t>
  </si>
  <si>
    <t>Jueces, magistrados, abogados y fiscales</t>
  </si>
  <si>
    <t>259</t>
  </si>
  <si>
    <t>Otros profesionales del derecho</t>
  </si>
  <si>
    <t>261</t>
  </si>
  <si>
    <t>Especialistas en finanzas</t>
  </si>
  <si>
    <t>262</t>
  </si>
  <si>
    <t>Especialistas en organización y administración</t>
  </si>
  <si>
    <t>263</t>
  </si>
  <si>
    <t>Técnicos de empresas y actividades turísticas</t>
  </si>
  <si>
    <t>264</t>
  </si>
  <si>
    <t>Profesionales de ventas técnicas y médicas (excepto las TIC)</t>
  </si>
  <si>
    <t>265</t>
  </si>
  <si>
    <t>Otros profesionales de las ventas, la comercialización, la publicidad y las relaciones públicas</t>
  </si>
  <si>
    <t>271</t>
  </si>
  <si>
    <t>Analistas y diseñadores de software y multimedia</t>
  </si>
  <si>
    <t>272</t>
  </si>
  <si>
    <t>Especialistas en bases de datos y en redes informáticas</t>
  </si>
  <si>
    <t>281</t>
  </si>
  <si>
    <t>Economistas</t>
  </si>
  <si>
    <t>282</t>
  </si>
  <si>
    <t>Sociólogos, historiadores, psicólogos y otros profesionales en ciencias sociales</t>
  </si>
  <si>
    <t>283</t>
  </si>
  <si>
    <t>Sacerdotes de las distintas religiones</t>
  </si>
  <si>
    <t>291</t>
  </si>
  <si>
    <t>Archivistas, bibliotecarios, conservadores y afines</t>
  </si>
  <si>
    <t>292</t>
  </si>
  <si>
    <t>Escritores, periodistas y lingüistas</t>
  </si>
  <si>
    <t>293</t>
  </si>
  <si>
    <t>Artistas creativos e interpretativos</t>
  </si>
  <si>
    <t>311</t>
  </si>
  <si>
    <t>Delineantes y dibujantes técnicos</t>
  </si>
  <si>
    <t>312</t>
  </si>
  <si>
    <t>Técnicos de las ciencias físicas, químicas, medioambientales y de las ingenierías</t>
  </si>
  <si>
    <t>313</t>
  </si>
  <si>
    <t>Técnicos en control de procesos</t>
  </si>
  <si>
    <t>314</t>
  </si>
  <si>
    <t>Técnicos de las ciencias naturales y profesionales auxiliares afines</t>
  </si>
  <si>
    <t>315</t>
  </si>
  <si>
    <t>Profesionales en navegación marítima y aeronáutica</t>
  </si>
  <si>
    <t>316</t>
  </si>
  <si>
    <t>Técnicos de control de calidad de las ciencias físicas, químicas y de las ingenierías</t>
  </si>
  <si>
    <t>320</t>
  </si>
  <si>
    <t>Supervisores en ingeniería de minas, de industrias manufactureras y de la construcción</t>
  </si>
  <si>
    <t>331</t>
  </si>
  <si>
    <t>Técnicos sanitarios de laboratorio, pruebas diagnósticas y prótesis</t>
  </si>
  <si>
    <t>332</t>
  </si>
  <si>
    <t>Otros técnicos sanitarios</t>
  </si>
  <si>
    <t>333</t>
  </si>
  <si>
    <t>Profesionales de las terapias alternativas</t>
  </si>
  <si>
    <t>340</t>
  </si>
  <si>
    <t>Profesionales de apoyo en finanzas y matemáticas</t>
  </si>
  <si>
    <t>351</t>
  </si>
  <si>
    <t>Agentes y representantes comerciales</t>
  </si>
  <si>
    <t>352</t>
  </si>
  <si>
    <t>Otros agentes comerciales</t>
  </si>
  <si>
    <t>353</t>
  </si>
  <si>
    <t>Agentes inmobiliarios y otros agentes</t>
  </si>
  <si>
    <t>361</t>
  </si>
  <si>
    <t>Asistentes administrativos y especializados</t>
  </si>
  <si>
    <t>362</t>
  </si>
  <si>
    <t>Agentes de aduanas, tributos y afines que trabajan en tareas propias de la Administración Pública</t>
  </si>
  <si>
    <t>363</t>
  </si>
  <si>
    <t>Técnicos de las fuerzas y cuerpos de seguridad</t>
  </si>
  <si>
    <t>371</t>
  </si>
  <si>
    <t>Profesionales de apoyo de servicios jurídicos y sociales</t>
  </si>
  <si>
    <t>372</t>
  </si>
  <si>
    <t>Deportistas, entrenadores, instructores de actividades deportivas; monitores de actividades recreativas</t>
  </si>
  <si>
    <t>373</t>
  </si>
  <si>
    <t>Técnicos y profesionales de apoyo de actividades culturales, artísticas y culinarias</t>
  </si>
  <si>
    <t>381</t>
  </si>
  <si>
    <t>Técnicos en operaciones de tecnologías de la información y asistencia al usuario</t>
  </si>
  <si>
    <t>382</t>
  </si>
  <si>
    <t>Programadores informáticos</t>
  </si>
  <si>
    <t>383</t>
  </si>
  <si>
    <t>Técnicos en grabación audiovisual, radiodifusión y telecomunicaciones</t>
  </si>
  <si>
    <t>411</t>
  </si>
  <si>
    <t>Empleados contables y financieros</t>
  </si>
  <si>
    <t>412</t>
  </si>
  <si>
    <t>Empleados de registro de materiales, de servicios de apoyo a la producción y al transporte</t>
  </si>
  <si>
    <t>421</t>
  </si>
  <si>
    <t>Empleados de bibliotecas y archivos</t>
  </si>
  <si>
    <t>422</t>
  </si>
  <si>
    <t>Empleados de servicios de correos, codificadores, correctores y servicios de personal</t>
  </si>
  <si>
    <t>430</t>
  </si>
  <si>
    <t>Otros empleados administrativos sin tareas de atención al público</t>
  </si>
  <si>
    <t>441</t>
  </si>
  <si>
    <t>Empleados de información y recepcionistas (excepto de hoteles)</t>
  </si>
  <si>
    <t>442</t>
  </si>
  <si>
    <t>Empleados de agencias de viajes, recepcionistas de hoteles y telefonistas</t>
  </si>
  <si>
    <t>443</t>
  </si>
  <si>
    <t>Agentes de encuestas</t>
  </si>
  <si>
    <t>444</t>
  </si>
  <si>
    <t>Empleados de ventanilla y afines (excepto taquilleros)</t>
  </si>
  <si>
    <t>450</t>
  </si>
  <si>
    <t>Empleados administrativos con tareas de atención al público no clasificados bajo otros epígrafes</t>
  </si>
  <si>
    <t>500</t>
  </si>
  <si>
    <t>Camareros y cocineros propietarios</t>
  </si>
  <si>
    <t>511</t>
  </si>
  <si>
    <t>Cocineros asalariados</t>
  </si>
  <si>
    <t>512</t>
  </si>
  <si>
    <t>Camareros asalariados</t>
  </si>
  <si>
    <t>521</t>
  </si>
  <si>
    <t>Jefes de sección de tiendas y almacenes</t>
  </si>
  <si>
    <t>522</t>
  </si>
  <si>
    <t>Vendedores en tiendas y almacenes</t>
  </si>
  <si>
    <t>530</t>
  </si>
  <si>
    <t>Comerciantes propietarios de tiendas</t>
  </si>
  <si>
    <t>541</t>
  </si>
  <si>
    <t>Vendedores en quioscos o en mercadillos</t>
  </si>
  <si>
    <t>542</t>
  </si>
  <si>
    <t>Operadores de telemarketing</t>
  </si>
  <si>
    <t>543</t>
  </si>
  <si>
    <t>Expendedores de gasolineras</t>
  </si>
  <si>
    <t>549</t>
  </si>
  <si>
    <t>Otros vendedores</t>
  </si>
  <si>
    <t>550</t>
  </si>
  <si>
    <t>Cajeros y taquilleros (excepto bancos)</t>
  </si>
  <si>
    <t>561</t>
  </si>
  <si>
    <t>Auxiliares de enfermería</t>
  </si>
  <si>
    <t>562</t>
  </si>
  <si>
    <t>Técnicos auxiliares de farmacia y emergencias sanitarias y otros trabajadores de los cuidados a las personas en servicios de salud</t>
  </si>
  <si>
    <t>571</t>
  </si>
  <si>
    <t>Trabajadores de los cuidados personales a domicilio (excepto cuidadores de niños)</t>
  </si>
  <si>
    <t>572</t>
  </si>
  <si>
    <t>Cuidadores de niños</t>
  </si>
  <si>
    <t>581</t>
  </si>
  <si>
    <t>Peluqueros y especialistas en tratamientos de estética, bienestar y afines</t>
  </si>
  <si>
    <t>582</t>
  </si>
  <si>
    <t>Trabajadores que atienden a viajeros, guías turísticos y afines</t>
  </si>
  <si>
    <t>583</t>
  </si>
  <si>
    <t>Supervisores de mantenimiento y limpieza de edificios, conserjes y mayordomos domésticos</t>
  </si>
  <si>
    <t>584</t>
  </si>
  <si>
    <t>Trabajadores propietarios de pequeños alojamientos</t>
  </si>
  <si>
    <t>589</t>
  </si>
  <si>
    <t>Otros trabajadores de servicios personales</t>
  </si>
  <si>
    <t>591</t>
  </si>
  <si>
    <t>Guardias civiles</t>
  </si>
  <si>
    <t>592</t>
  </si>
  <si>
    <t>Policías</t>
  </si>
  <si>
    <t>593</t>
  </si>
  <si>
    <t>Bomberos</t>
  </si>
  <si>
    <t>594</t>
  </si>
  <si>
    <t>Personal de seguridad privado</t>
  </si>
  <si>
    <t>599</t>
  </si>
  <si>
    <t>Otros trabajadores de los servicios de protección y seguridad</t>
  </si>
  <si>
    <t>611</t>
  </si>
  <si>
    <t>Trabajadores cualificados en actividades agrícolas (excepto en huertas, invernaderos, viveros y jardines)</t>
  </si>
  <si>
    <t>612</t>
  </si>
  <si>
    <t>Trabajadores cualificados en huertas, invernaderos, viveros y jardines</t>
  </si>
  <si>
    <t>620</t>
  </si>
  <si>
    <t>Trabajadores cualificados en actividades ganaderas (incluidas avícolas, apícolas y similares)</t>
  </si>
  <si>
    <t>630</t>
  </si>
  <si>
    <t>Trabajadores cualificados en actividades agropecuarias mixtas</t>
  </si>
  <si>
    <t>641</t>
  </si>
  <si>
    <t>Trabajadores cualificados en actividades forestales y del medio natural</t>
  </si>
  <si>
    <t>642</t>
  </si>
  <si>
    <t>Trabajadores cualificados en actividades pesqueras y acuicultura</t>
  </si>
  <si>
    <t>643</t>
  </si>
  <si>
    <t>Trabajadores cualificados en actividades cinegéticas</t>
  </si>
  <si>
    <t>711</t>
  </si>
  <si>
    <t>Trabajadores en hormigón, encofradores, ferrallistas y afines</t>
  </si>
  <si>
    <t>712</t>
  </si>
  <si>
    <t>Albañiles, canteros, tronzadores, labrantes y grabadores de piedras</t>
  </si>
  <si>
    <t>713</t>
  </si>
  <si>
    <t>Carpinteros (excepto ebanistas y montadores de estructuras metálicas)</t>
  </si>
  <si>
    <t>719</t>
  </si>
  <si>
    <t>Otros trabajadores de las obras estructurales de construcción</t>
  </si>
  <si>
    <t>721</t>
  </si>
  <si>
    <t>Escayolistas y aplicadores de revestimientos de pasta y mortero</t>
  </si>
  <si>
    <t>722</t>
  </si>
  <si>
    <t>Fontaneros e instaladores de tuberías</t>
  </si>
  <si>
    <t>723</t>
  </si>
  <si>
    <t>Pintores, empapeladores y afines</t>
  </si>
  <si>
    <t>724</t>
  </si>
  <si>
    <t>Soladores, colocadores de parquet y afines</t>
  </si>
  <si>
    <t>725</t>
  </si>
  <si>
    <t>Mecánicos-instaladores de refrigeración y climatización</t>
  </si>
  <si>
    <t>729</t>
  </si>
  <si>
    <t>Otros trabajadores de acabado en la construcción, instalaciones (excepto electricistas) y afines</t>
  </si>
  <si>
    <t>731</t>
  </si>
  <si>
    <t>Moldeadores, soldadores, chapistas, montadores de estructuras metálicas y trabajadores afines</t>
  </si>
  <si>
    <t>732</t>
  </si>
  <si>
    <t>Herreros y trabajadores de la fabricación de herramientas y afines</t>
  </si>
  <si>
    <t>740</t>
  </si>
  <si>
    <t>Mecánicos y ajustadores de maquinaria</t>
  </si>
  <si>
    <t>751</t>
  </si>
  <si>
    <t>Electricistas de la construcción y afines</t>
  </si>
  <si>
    <t>752</t>
  </si>
  <si>
    <t>Otros instaladores y reparadores de equipos eléctricos</t>
  </si>
  <si>
    <t>753</t>
  </si>
  <si>
    <t>Instaladores y reparadores de equipos electrónicos y de telecomunicaciones</t>
  </si>
  <si>
    <t>761</t>
  </si>
  <si>
    <t>Mecánicos de precisión en metales, ceramistas, vidrieros y artesanos</t>
  </si>
  <si>
    <t>762</t>
  </si>
  <si>
    <t>Oficiales y operarios de las artes gráficas</t>
  </si>
  <si>
    <t>770</t>
  </si>
  <si>
    <t>Trabajadores de la industria de la alimentación, bebidas y tabaco</t>
  </si>
  <si>
    <t>781</t>
  </si>
  <si>
    <t>Trabajadores que tratan la madera y afines</t>
  </si>
  <si>
    <t>782</t>
  </si>
  <si>
    <t>Ebanistas y trabajadores afines</t>
  </si>
  <si>
    <t>783</t>
  </si>
  <si>
    <t>Trabajadores del textil, confección, piel, cuero y calzado</t>
  </si>
  <si>
    <t>789</t>
  </si>
  <si>
    <t>Pegadores, buceadores, probadores de productos y otros operarios y artesanos diversos</t>
  </si>
  <si>
    <t>811</t>
  </si>
  <si>
    <t>Operadores en instalaciones de la extracción y explotación de minerales</t>
  </si>
  <si>
    <t>812</t>
  </si>
  <si>
    <t>Operadores en instalaciones para el tratamiento de metales</t>
  </si>
  <si>
    <t>813</t>
  </si>
  <si>
    <t>Operadores de instalaciones y máquinas de productos químicos, farmacéuticos y materiales fotosensibles</t>
  </si>
  <si>
    <t>814</t>
  </si>
  <si>
    <t>Operadores en instalaciones para el tratamiento y transformación de la madera, la fabricación de papel, productos de papel y caucho o materias plásticas</t>
  </si>
  <si>
    <t>815</t>
  </si>
  <si>
    <t>Operadores de máquinas para fabricar productos textiles y artículos de piel y de cuero</t>
  </si>
  <si>
    <t>816</t>
  </si>
  <si>
    <t>Operadores de máquinas para elaborar productos alimenticios, bebidas y tabaco</t>
  </si>
  <si>
    <t>817</t>
  </si>
  <si>
    <t>Operadores de máquinas de lavandería y tintorería</t>
  </si>
  <si>
    <t>819</t>
  </si>
  <si>
    <t>Otros operadores de instalaciones y maquinaria fijas</t>
  </si>
  <si>
    <t>820</t>
  </si>
  <si>
    <t>Montadores y ensambladores en fábricas</t>
  </si>
  <si>
    <t>831</t>
  </si>
  <si>
    <t>Maquinistas de locomotoras y afines</t>
  </si>
  <si>
    <t>832</t>
  </si>
  <si>
    <t>Operadores de maquinaria agrícola y forestal móvil</t>
  </si>
  <si>
    <t>833</t>
  </si>
  <si>
    <t>Operadores de otras máquinas móviles</t>
  </si>
  <si>
    <t>834</t>
  </si>
  <si>
    <t>Marineros de puente, marineros de máquinas y afines</t>
  </si>
  <si>
    <t>841</t>
  </si>
  <si>
    <t>Conductores de automóviles, taxis y furgonetas</t>
  </si>
  <si>
    <t>842</t>
  </si>
  <si>
    <t>Conductores de autobuses y tranvías</t>
  </si>
  <si>
    <t>843</t>
  </si>
  <si>
    <t>Conductores de camiones</t>
  </si>
  <si>
    <t>844</t>
  </si>
  <si>
    <t>Conductores de motocicletas y ciclomotores</t>
  </si>
  <si>
    <t>910</t>
  </si>
  <si>
    <t>Empleados domésticos</t>
  </si>
  <si>
    <t>921</t>
  </si>
  <si>
    <t>Personal de limpieza de oficinas, hoteles y otros establecimientos similares</t>
  </si>
  <si>
    <t>922</t>
  </si>
  <si>
    <t>Limpiadores de vehículos, ventanas y personal de limpieza a mano</t>
  </si>
  <si>
    <t>931</t>
  </si>
  <si>
    <t>Ayudantes de cocina</t>
  </si>
  <si>
    <t>932</t>
  </si>
  <si>
    <t>Preparadores de comidas rápidas</t>
  </si>
  <si>
    <t>941</t>
  </si>
  <si>
    <t>Vendedores callejeros</t>
  </si>
  <si>
    <t>942</t>
  </si>
  <si>
    <t>Repartidores de publicidad, limpiabotas y otros trabajadores de oficios callejeros</t>
  </si>
  <si>
    <t>943</t>
  </si>
  <si>
    <t>Ordenanzas, mozos de equipaje, repartidores a pie y afines</t>
  </si>
  <si>
    <t>944</t>
  </si>
  <si>
    <t>Recogedores de residuos, clasificadores de desechos, barrenderos y afines</t>
  </si>
  <si>
    <t>949</t>
  </si>
  <si>
    <t>Otras ocupaciones elementales</t>
  </si>
  <si>
    <t>951</t>
  </si>
  <si>
    <t>Peones agrícolas</t>
  </si>
  <si>
    <t>952</t>
  </si>
  <si>
    <t>Peones ganaderos</t>
  </si>
  <si>
    <t>953</t>
  </si>
  <si>
    <t>Peones agropecuarios</t>
  </si>
  <si>
    <t>954</t>
  </si>
  <si>
    <t>Peones de la pesca, la acuicultura, forestales y de la caza</t>
  </si>
  <si>
    <t>960</t>
  </si>
  <si>
    <t>Peones de la construcción y de la minería</t>
  </si>
  <si>
    <t>970</t>
  </si>
  <si>
    <t>Peones de las industrias manufactureras</t>
  </si>
  <si>
    <t>981</t>
  </si>
  <si>
    <t>Peones del transporte, descargadores y afines</t>
  </si>
  <si>
    <t>982</t>
  </si>
  <si>
    <t>Reponedores</t>
  </si>
  <si>
    <t>000</t>
  </si>
  <si>
    <t>B3_2 *** (2 veces más)</t>
  </si>
  <si>
    <t>011</t>
  </si>
  <si>
    <t>Cultivos no perennes</t>
  </si>
  <si>
    <t>012</t>
  </si>
  <si>
    <t>Cultivos perennes</t>
  </si>
  <si>
    <t>013</t>
  </si>
  <si>
    <t>Propagación de plantas</t>
  </si>
  <si>
    <t>014</t>
  </si>
  <si>
    <t>Producción ganadera</t>
  </si>
  <si>
    <t>015</t>
  </si>
  <si>
    <t>Producción agrícola combinada con la producción ganadera</t>
  </si>
  <si>
    <t>016</t>
  </si>
  <si>
    <t>Actividades de apoyo a la agricultura, a la ganadería y de preparación posterior a la cosecha</t>
  </si>
  <si>
    <t>017</t>
  </si>
  <si>
    <t>Caza, captura de animales y servicios relacionados con las mismas</t>
  </si>
  <si>
    <t>021</t>
  </si>
  <si>
    <t>Silvicultura y otras actividades forestales</t>
  </si>
  <si>
    <t>022</t>
  </si>
  <si>
    <t>Explotación de la madera</t>
  </si>
  <si>
    <t>023</t>
  </si>
  <si>
    <t>Recolección de productos silvestres, excepto madera</t>
  </si>
  <si>
    <t>024</t>
  </si>
  <si>
    <t>Servicios de apoyo a la silvicultura</t>
  </si>
  <si>
    <t>031</t>
  </si>
  <si>
    <t>Pesca</t>
  </si>
  <si>
    <t>032</t>
  </si>
  <si>
    <t>Acuicultura</t>
  </si>
  <si>
    <t>051</t>
  </si>
  <si>
    <t>Extracción de antracita y hulla</t>
  </si>
  <si>
    <t>052</t>
  </si>
  <si>
    <t>Extracción de lignito</t>
  </si>
  <si>
    <t>061</t>
  </si>
  <si>
    <t>Extracción de crudo de petróleo</t>
  </si>
  <si>
    <t>062</t>
  </si>
  <si>
    <t>Extracción de gas natural</t>
  </si>
  <si>
    <t>071</t>
  </si>
  <si>
    <t>Extracción de minerales de hierro</t>
  </si>
  <si>
    <t>072</t>
  </si>
  <si>
    <t>Extracción de minerales metálicos no férreos</t>
  </si>
  <si>
    <t>081</t>
  </si>
  <si>
    <t>Extracción de piedra, arena y arcilla</t>
  </si>
  <si>
    <t>089</t>
  </si>
  <si>
    <t>Industrias extractivas n.c.o.p.</t>
  </si>
  <si>
    <t>091</t>
  </si>
  <si>
    <t>Actividades de apoyo a la extracción de petróleo y gas natural</t>
  </si>
  <si>
    <t>099</t>
  </si>
  <si>
    <t>Actividades de apoyo a otras industrias extractivas</t>
  </si>
  <si>
    <t>101</t>
  </si>
  <si>
    <t>Procesado y conservación de carne y elaboración de productos cárnicos</t>
  </si>
  <si>
    <t>102</t>
  </si>
  <si>
    <t>Procesado y conservación de pescados, crustáceos y moluscos</t>
  </si>
  <si>
    <t>103</t>
  </si>
  <si>
    <t>Procesado y conservación de frutas y hortalizas</t>
  </si>
  <si>
    <t>104</t>
  </si>
  <si>
    <t>Fabricación de aceites y grasas vegetales y animales</t>
  </si>
  <si>
    <t>105</t>
  </si>
  <si>
    <t>Fabricación de productos lácteos</t>
  </si>
  <si>
    <t>106</t>
  </si>
  <si>
    <t>Fabricación de productos de molinería, almidones y productos amiláceos</t>
  </si>
  <si>
    <t>107</t>
  </si>
  <si>
    <t>Fabricación de productos de panadería y pastas alimenticias</t>
  </si>
  <si>
    <t>108</t>
  </si>
  <si>
    <t>Fabricación de otros productos alimenticios</t>
  </si>
  <si>
    <t>109</t>
  </si>
  <si>
    <t>Fabricación de productos para la alimentación animal</t>
  </si>
  <si>
    <t>110</t>
  </si>
  <si>
    <t>Fabricación de bebidas</t>
  </si>
  <si>
    <t>120</t>
  </si>
  <si>
    <t>Industria del tabaco</t>
  </si>
  <si>
    <t>Preparación e hilado de fibras textiles</t>
  </si>
  <si>
    <t>Fabricación de tejidos textiles</t>
  </si>
  <si>
    <t>133</t>
  </si>
  <si>
    <t>Acabado de textiles</t>
  </si>
  <si>
    <t>139</t>
  </si>
  <si>
    <t>Fabricación de otros productos textiles</t>
  </si>
  <si>
    <t>Confección de prendas de vestir, excepto de peletería</t>
  </si>
  <si>
    <t>Fabricación de artículos de peletería</t>
  </si>
  <si>
    <t>Confección de prendas de vestir de punto</t>
  </si>
  <si>
    <t>151</t>
  </si>
  <si>
    <t>Preparación, curtido y acabado del cuero; fabricación de artículos de marroquinería, viaje y de guarnicionería y talabartería; preparación y teñido de pieles</t>
  </si>
  <si>
    <t>152</t>
  </si>
  <si>
    <t>Fabricación de calzado</t>
  </si>
  <si>
    <t>161</t>
  </si>
  <si>
    <t>Aserrado y cepillado de la madera</t>
  </si>
  <si>
    <t>162</t>
  </si>
  <si>
    <t>Fabricación de productos de madera, corcho, cestería y espartería</t>
  </si>
  <si>
    <t>171</t>
  </si>
  <si>
    <t>Fabricación de pasta papelera, papel y cartón</t>
  </si>
  <si>
    <t>172</t>
  </si>
  <si>
    <t>Fabricación de artículos de papel y de cartón</t>
  </si>
  <si>
    <t>181</t>
  </si>
  <si>
    <t>Artes gráficas y servicios relacionados con las mismas</t>
  </si>
  <si>
    <t>182</t>
  </si>
  <si>
    <t>Reproducción de soportes grabados</t>
  </si>
  <si>
    <t>191</t>
  </si>
  <si>
    <t>Coquerías</t>
  </si>
  <si>
    <t>192</t>
  </si>
  <si>
    <t>Refino de petróleo</t>
  </si>
  <si>
    <t>201</t>
  </si>
  <si>
    <t>Fabricación de productos químicos básicos, compuestos nitrogenados, fertilizantes, plásticos y caucho sintético en formas primarias</t>
  </si>
  <si>
    <t>202</t>
  </si>
  <si>
    <t>Fabricación de pesticidas y otros productos agroquímicos</t>
  </si>
  <si>
    <t>203</t>
  </si>
  <si>
    <t>Fabricación de pinturas, barnices y revestimientos similares; tintas de imprenta y masillas</t>
  </si>
  <si>
    <t>204</t>
  </si>
  <si>
    <t>Fabricación de jabones, detergentes y otros artículos de limpieza y abrillantamiento; fabricación de perfumes y cosméticos</t>
  </si>
  <si>
    <t>205</t>
  </si>
  <si>
    <t>Fabricación de otros productos químicos</t>
  </si>
  <si>
    <t>206</t>
  </si>
  <si>
    <t>Fabricación de fibras artificiales y sintéticas</t>
  </si>
  <si>
    <t>Fabricación de productos farmacéuticos de base</t>
  </si>
  <si>
    <t>Fabricación de especialidades farmacéuticas</t>
  </si>
  <si>
    <t>Fabricación de productos de caucho</t>
  </si>
  <si>
    <t>Fabricación de productos de plástico</t>
  </si>
  <si>
    <t>Fabricación de vidrio y productos de vidrio</t>
  </si>
  <si>
    <t>Fabricación de productos cerámicos refractarios</t>
  </si>
  <si>
    <t>233</t>
  </si>
  <si>
    <t>Fabricación de productos cerámicos para la construcción</t>
  </si>
  <si>
    <t>234</t>
  </si>
  <si>
    <t>Fabricación de otros productos cerámicos</t>
  </si>
  <si>
    <t>235</t>
  </si>
  <si>
    <t>Fabricación de cemento, cal y yeso</t>
  </si>
  <si>
    <t>236</t>
  </si>
  <si>
    <t>Fabricación de elementos de hormigón, cemento y yeso</t>
  </si>
  <si>
    <t>237</t>
  </si>
  <si>
    <t>Corte, tallado y acabado de la piedra</t>
  </si>
  <si>
    <t>239</t>
  </si>
  <si>
    <t>Fabricación de productos abrasivos y productos minerales no metálicos n.c.o.p.</t>
  </si>
  <si>
    <t>Fabricación de productos básicos de hierro, acero y ferroaleaciones</t>
  </si>
  <si>
    <t>Fabricación de tubos, tuberías, perfiles huecos y sus accesorios, de acero</t>
  </si>
  <si>
    <t>Fabricación de otros productos de primera transformación del acero</t>
  </si>
  <si>
    <t>Producción de metales preciosos y de otros metales no férreos</t>
  </si>
  <si>
    <t>Fundición de metales</t>
  </si>
  <si>
    <t>Fabricación de elementos metálicos para la construcción</t>
  </si>
  <si>
    <t>252</t>
  </si>
  <si>
    <t>Fabricación de cisternas, grandes depósitos y contenedores de metal</t>
  </si>
  <si>
    <t>253</t>
  </si>
  <si>
    <t>Fabricación de generadores de vapor, excepto calderas de calefacción central</t>
  </si>
  <si>
    <t>254</t>
  </si>
  <si>
    <t>Fabricación de armas y municiones</t>
  </si>
  <si>
    <t>255</t>
  </si>
  <si>
    <t>Forja, estampación y embutición de metales; metalurgia de polvos</t>
  </si>
  <si>
    <t>256</t>
  </si>
  <si>
    <t>Tratamiento y revestimiento de metales; ingeniería mecánica por cuenta de terceros</t>
  </si>
  <si>
    <t>257</t>
  </si>
  <si>
    <t>Fabricación de artículos de cuchillería y cubertería, herramientas y ferretería</t>
  </si>
  <si>
    <t>Fabricación de otros productos metálicos</t>
  </si>
  <si>
    <t>Fabricación de componentes electrónicos y circuitos impresos ensamblados</t>
  </si>
  <si>
    <t>Fabricación de ordenadores y equipos periféricos</t>
  </si>
  <si>
    <t>Fabricación de equipos de telecomunicaciones</t>
  </si>
  <si>
    <t>Fabricación de productos electrónicos de consumo</t>
  </si>
  <si>
    <t>Fabricación de instrumentos y aparatos de medida, verificación y navegación; fabricación de relojes</t>
  </si>
  <si>
    <t>266</t>
  </si>
  <si>
    <t>Fabricación de equipos de radiación, electromédicos y electroterapéuticos</t>
  </si>
  <si>
    <t>267</t>
  </si>
  <si>
    <t>Fabricación de instrumentos de óptica y equipo fotográfico</t>
  </si>
  <si>
    <t>268</t>
  </si>
  <si>
    <t>Fabricación de soportes magnéticos y ópticos</t>
  </si>
  <si>
    <t>Fabricación de motores, generadores y transformadores eléctricos, y de aparatos de distribución y control eléctrico</t>
  </si>
  <si>
    <t>Fabricación de pilas y acumuladores eléctricos</t>
  </si>
  <si>
    <t>273</t>
  </si>
  <si>
    <t>Fabricación de cables y dispositivos de cableado</t>
  </si>
  <si>
    <t>274</t>
  </si>
  <si>
    <t>Fabricación de lámparas y aparatos eléctricos de iluminación</t>
  </si>
  <si>
    <t>275</t>
  </si>
  <si>
    <t>Fabricación de aparatos domésticos</t>
  </si>
  <si>
    <t>279</t>
  </si>
  <si>
    <t>Fabricación de otro material y equipo eléctrico</t>
  </si>
  <si>
    <t>Fabricación de maquinaria de uso general</t>
  </si>
  <si>
    <t>Fabricación de otra maquinaria de uso general</t>
  </si>
  <si>
    <t>Fabricación de maquinaria agraria y forestal</t>
  </si>
  <si>
    <t>284</t>
  </si>
  <si>
    <t>Fabricación de máquinas herramienta para trabajar el metal y otras máquinas herramienta</t>
  </si>
  <si>
    <t>289</t>
  </si>
  <si>
    <t>Fabricación de otra maquinaria para usos específicos</t>
  </si>
  <si>
    <t>Fabricación de vehículos de motor</t>
  </si>
  <si>
    <t>Fabricación de carrocerías para vehículos de motor; fabricación de remolques y semirremolques</t>
  </si>
  <si>
    <t>Fabricación de componentes, piezas y accesorios para vehículos de motor</t>
  </si>
  <si>
    <t>301</t>
  </si>
  <si>
    <t>Construcción naval</t>
  </si>
  <si>
    <t>302</t>
  </si>
  <si>
    <t>Fabricación de locomotoras y material ferroviario</t>
  </si>
  <si>
    <t>303</t>
  </si>
  <si>
    <t>Construcción aeronáutica y espacial y su maquinaria</t>
  </si>
  <si>
    <t>304</t>
  </si>
  <si>
    <t>Fabricación de vehículos militares de combate</t>
  </si>
  <si>
    <t>309</t>
  </si>
  <si>
    <t>Fabricación de otro material de transporte n.c.o.p.</t>
  </si>
  <si>
    <t>310</t>
  </si>
  <si>
    <t>Fabricación de muebles</t>
  </si>
  <si>
    <t>321</t>
  </si>
  <si>
    <t>Fabricación de artículos de joyería, bisutería y similares</t>
  </si>
  <si>
    <t>322</t>
  </si>
  <si>
    <t>Fabricación de instrumentos musicales</t>
  </si>
  <si>
    <t>323</t>
  </si>
  <si>
    <t>Fabricación de artículos de deporte</t>
  </si>
  <si>
    <t>324</t>
  </si>
  <si>
    <t>Fabricación de juegos y juguetes</t>
  </si>
  <si>
    <t>325</t>
  </si>
  <si>
    <t>Fabricación de instrumentos y suministros médicos y odontológicos</t>
  </si>
  <si>
    <t>329</t>
  </si>
  <si>
    <t>Industrias manufactureras n.c.o.p.</t>
  </si>
  <si>
    <t>Reparación de productos metálicos, maquinaria y equipo</t>
  </si>
  <si>
    <t>Instalación de máquinas y equipos industriales</t>
  </si>
  <si>
    <t>Producción, transporte y distribución de energía eléctrica</t>
  </si>
  <si>
    <t>Producción de gas; distribución por tubería de combustibles gaseosos</t>
  </si>
  <si>
    <t>Suministro de vapor y aire acondicionado</t>
  </si>
  <si>
    <t>360</t>
  </si>
  <si>
    <t>Captación, depuración y distribución de agua</t>
  </si>
  <si>
    <t>370</t>
  </si>
  <si>
    <t>Recogida y tratamiento de aguas residuales</t>
  </si>
  <si>
    <t>Recogida de residuos</t>
  </si>
  <si>
    <t>Tratamiento y eliminación de residuos</t>
  </si>
  <si>
    <t>Valorización</t>
  </si>
  <si>
    <t>390</t>
  </si>
  <si>
    <t>Actividades de descontaminación y otros servicios de gestión de residuos</t>
  </si>
  <si>
    <t>Promoción inmobiliaria</t>
  </si>
  <si>
    <t>Construcción de edificios</t>
  </si>
  <si>
    <t>Construcción de carreteras y vías férreas, puentes y túneles</t>
  </si>
  <si>
    <t>Construcción de redes</t>
  </si>
  <si>
    <t>429</t>
  </si>
  <si>
    <t>Construcción de otros proyectos de ingeniería civil</t>
  </si>
  <si>
    <t>431</t>
  </si>
  <si>
    <t>Demolición y preparación de terrenos</t>
  </si>
  <si>
    <t>432</t>
  </si>
  <si>
    <t>Instalaciones eléctricas, de fontanería y otras instalaciones en obras de construcción</t>
  </si>
  <si>
    <t>433</t>
  </si>
  <si>
    <t>Acabado de edificios</t>
  </si>
  <si>
    <t>439</t>
  </si>
  <si>
    <t>Otras actividades de construcción especializada</t>
  </si>
  <si>
    <t>451</t>
  </si>
  <si>
    <t>Venta de vehículos de motor</t>
  </si>
  <si>
    <t>452</t>
  </si>
  <si>
    <t>Mantenimiento y reparación de vehículos de motor</t>
  </si>
  <si>
    <t>453</t>
  </si>
  <si>
    <t>Comercio de repuestos y accesorios de vehículos de motor</t>
  </si>
  <si>
    <t>454</t>
  </si>
  <si>
    <t>Venta, mantenimiento y reparación de motocicletas y de sus repuestos y accesorios</t>
  </si>
  <si>
    <t>461</t>
  </si>
  <si>
    <t>Intermediarios del comercio</t>
  </si>
  <si>
    <t>462</t>
  </si>
  <si>
    <t>Comercio al por mayor de materias primas agrarias y de animales vivos</t>
  </si>
  <si>
    <t>463</t>
  </si>
  <si>
    <t>Comercio al por mayor de productos alimenticios, bebidas y tabaco</t>
  </si>
  <si>
    <t>464</t>
  </si>
  <si>
    <t>Comercio al por mayor de artículos de uso doméstico</t>
  </si>
  <si>
    <t>465</t>
  </si>
  <si>
    <t>Comercio al por mayor de equipos para las tecnologías de la información y las comunicaciones</t>
  </si>
  <si>
    <t>466</t>
  </si>
  <si>
    <t>Comercio al por mayor de otra maquinaria, equipos y suministros</t>
  </si>
  <si>
    <t>467</t>
  </si>
  <si>
    <t>Otro comercio al por mayor especializado</t>
  </si>
  <si>
    <t>469</t>
  </si>
  <si>
    <t>Comercio al por mayor no especializado</t>
  </si>
  <si>
    <t>471</t>
  </si>
  <si>
    <t>Comercio al por menor en establecimientos no especializados</t>
  </si>
  <si>
    <t>472</t>
  </si>
  <si>
    <t>Comercio al por menor de productos alimenticios, bebidas y tabaco en establecimientos especializados</t>
  </si>
  <si>
    <t>473</t>
  </si>
  <si>
    <t>Comercio al por menor de combustible para la automoción en establecimientos especializados</t>
  </si>
  <si>
    <t>474</t>
  </si>
  <si>
    <t>Comercio al por menor de equipos para las tecnologías de la información y las comunicaciones en establecimientos especializados</t>
  </si>
  <si>
    <t>475</t>
  </si>
  <si>
    <t>Comercio al por menor de otros artículos de uso doméstico en establecimientos especializados</t>
  </si>
  <si>
    <t>476</t>
  </si>
  <si>
    <t>Comercio al por menor de artículos culturales y recreativos en establecimientos especializados</t>
  </si>
  <si>
    <t>477</t>
  </si>
  <si>
    <t>Comercio al por menor de otros artículos en establecimientos especializados</t>
  </si>
  <si>
    <t>478</t>
  </si>
  <si>
    <t>Comercio al por menor en puestos de venta y en mercadillos</t>
  </si>
  <si>
    <t>479</t>
  </si>
  <si>
    <t>Comercio al por menor no realizado ni en establecimientos, ni en puestos de venta ni en mercadillos</t>
  </si>
  <si>
    <t>491</t>
  </si>
  <si>
    <t>Transporte interurbano de pasajeros por ferrocarril</t>
  </si>
  <si>
    <t>492</t>
  </si>
  <si>
    <t>Transporte de mercancías por ferrocarril</t>
  </si>
  <si>
    <t>493</t>
  </si>
  <si>
    <t>Otro transporte terrestre de pasajeros</t>
  </si>
  <si>
    <t>494</t>
  </si>
  <si>
    <t>Transporte de mercancías por carretera y servicios de mudanza</t>
  </si>
  <si>
    <t>495</t>
  </si>
  <si>
    <t>Transporte por tubería</t>
  </si>
  <si>
    <t>501</t>
  </si>
  <si>
    <t>Transporte marítimo de pasajeros</t>
  </si>
  <si>
    <t>502</t>
  </si>
  <si>
    <t>Transporte marítimo de mercancías</t>
  </si>
  <si>
    <t>503</t>
  </si>
  <si>
    <t>Transporte de pasajeros por vías navegables interiores</t>
  </si>
  <si>
    <t>504</t>
  </si>
  <si>
    <t>Transporte de mercancías por vías navegables interiores</t>
  </si>
  <si>
    <t>Transporte aéreo de pasajeros</t>
  </si>
  <si>
    <t>Transporte aéreo de mercancías y transporte espacial</t>
  </si>
  <si>
    <t>Depósito y almacenamiento</t>
  </si>
  <si>
    <t>Actividades anexas al transporte</t>
  </si>
  <si>
    <t>531</t>
  </si>
  <si>
    <t>Actividades postales sometidas a la obligación del servicio universal</t>
  </si>
  <si>
    <t>532</t>
  </si>
  <si>
    <t>Otras actividades postales y de correos</t>
  </si>
  <si>
    <t>551</t>
  </si>
  <si>
    <t>Hoteles y alojamientos similares</t>
  </si>
  <si>
    <t>552</t>
  </si>
  <si>
    <t>Alojamientos turísticos y otros alojamientos de corta estancia</t>
  </si>
  <si>
    <t>553</t>
  </si>
  <si>
    <t>Campings y aparcamientos para caravanas</t>
  </si>
  <si>
    <t>559</t>
  </si>
  <si>
    <t>Otros alojamientos</t>
  </si>
  <si>
    <t>Restaurantes y puestos de comidas</t>
  </si>
  <si>
    <t>Provisión de comidas preparadas para eventos y otros servicios de comidas</t>
  </si>
  <si>
    <t>563</t>
  </si>
  <si>
    <t>Establecimientos de bebidas</t>
  </si>
  <si>
    <t>Edición de libros, periódicos y otras actividades editoriales</t>
  </si>
  <si>
    <t>Edición de programas informáticos</t>
  </si>
  <si>
    <t>Actividades cinematográficas, de vídeo y de programas de televisión</t>
  </si>
  <si>
    <t>Actividades de grabación de sonido y edición musical</t>
  </si>
  <si>
    <t>601</t>
  </si>
  <si>
    <t>Actividades de radiodifusión</t>
  </si>
  <si>
    <t>602</t>
  </si>
  <si>
    <t>Actividades de programación y emisión de televisión</t>
  </si>
  <si>
    <t>Telecomunicaciones por cable</t>
  </si>
  <si>
    <t>Telecomunicaciones inalámbricas</t>
  </si>
  <si>
    <t>613</t>
  </si>
  <si>
    <t>Telecomunicaciones por satélite</t>
  </si>
  <si>
    <t>619</t>
  </si>
  <si>
    <t>Otras actividades de telecomunicaciones</t>
  </si>
  <si>
    <t>Programación, consultoría y otras actividades relacionadas con la informática</t>
  </si>
  <si>
    <t>631</t>
  </si>
  <si>
    <t>Proceso de datos, hosting y actividades relacionadas; portales web</t>
  </si>
  <si>
    <t>639</t>
  </si>
  <si>
    <t>Otros servicios de información</t>
  </si>
  <si>
    <t>Intermediación monetaria</t>
  </si>
  <si>
    <t>Actividades de las sociedades holding</t>
  </si>
  <si>
    <t>Inversión colectiva, fondos y entidades financieras similares</t>
  </si>
  <si>
    <t>649</t>
  </si>
  <si>
    <t>Otros servicios financieros, excepto seguros y fondos de pensiones</t>
  </si>
  <si>
    <t>651</t>
  </si>
  <si>
    <t>Seguros</t>
  </si>
  <si>
    <t>652</t>
  </si>
  <si>
    <t>Reaseguros</t>
  </si>
  <si>
    <t>653</t>
  </si>
  <si>
    <t>Fondos de pensiones</t>
  </si>
  <si>
    <t>661</t>
  </si>
  <si>
    <t>Actividades auxiliares a los servicios financieros, excepto seguros y fondos de pensiones</t>
  </si>
  <si>
    <t>662</t>
  </si>
  <si>
    <t>Actividades auxiliares a seguros y fondos de pensiones</t>
  </si>
  <si>
    <t>663</t>
  </si>
  <si>
    <t>Actividades de gestión de fondos</t>
  </si>
  <si>
    <t>681</t>
  </si>
  <si>
    <t>Compraventa de bienes inmobiliarios por cuenta propia</t>
  </si>
  <si>
    <t>682</t>
  </si>
  <si>
    <t>Alquiler de bienes inmobiliarios por cuenta propia</t>
  </si>
  <si>
    <t>683</t>
  </si>
  <si>
    <t>Actividades inmobiliarias por cuenta de terceros</t>
  </si>
  <si>
    <t>691</t>
  </si>
  <si>
    <t>Actividades jurídicas</t>
  </si>
  <si>
    <t>692</t>
  </si>
  <si>
    <t>Actividades de contabilidad, teneduría de libros, auditoría y asesoría fiscal</t>
  </si>
  <si>
    <t>701</t>
  </si>
  <si>
    <t>Actividades de las sedes centrales</t>
  </si>
  <si>
    <t>702</t>
  </si>
  <si>
    <t>Actividades de consultoría de gestión empresarial</t>
  </si>
  <si>
    <t>Servicios técnicos de arquitectura e ingeniería y otras actividades relacionadas con el asesoramiento técnico</t>
  </si>
  <si>
    <t>Ensayos y análisis técnicos</t>
  </si>
  <si>
    <t>Investigación y desarrollo experimental en ciencias naturales y técnicas</t>
  </si>
  <si>
    <t>Investigación y desarrollo experimental en ciencias sociales y humanidades</t>
  </si>
  <si>
    <t>Publicidad</t>
  </si>
  <si>
    <t>Estudio de mercado y realización de encuestas de opinión pública</t>
  </si>
  <si>
    <t>741</t>
  </si>
  <si>
    <t>Actividades de diseño especializado</t>
  </si>
  <si>
    <t>742</t>
  </si>
  <si>
    <t>Actividades de fotografía</t>
  </si>
  <si>
    <t>743</t>
  </si>
  <si>
    <t>Actividades de traducción e interpretación</t>
  </si>
  <si>
    <t>749</t>
  </si>
  <si>
    <t>Otras actividades profesionales, científicas y técnicas n.c.o.p.</t>
  </si>
  <si>
    <t>750</t>
  </si>
  <si>
    <t>Actividades veterinarias</t>
  </si>
  <si>
    <t>771</t>
  </si>
  <si>
    <t>Alquiler de vehículos de motor</t>
  </si>
  <si>
    <t>772</t>
  </si>
  <si>
    <t>Alquiler de efectos personales y artículos de uso doméstico</t>
  </si>
  <si>
    <t>773</t>
  </si>
  <si>
    <t>Alquiler de otra maquinaria, equipos y bienes tangibles</t>
  </si>
  <si>
    <t>774</t>
  </si>
  <si>
    <t>Arrendamiento de la propiedad intelectual y productos similares, excepto trabajos protegidos por los derechos de autor</t>
  </si>
  <si>
    <t>Actividades de las agencias de colocación</t>
  </si>
  <si>
    <t>Actividades de las empresas de trabajo temporal</t>
  </si>
  <si>
    <t>Otra provisión de recursos humanos</t>
  </si>
  <si>
    <t>791</t>
  </si>
  <si>
    <t>Actividades de agencias de viajes y operadores turísticos</t>
  </si>
  <si>
    <t>799</t>
  </si>
  <si>
    <t>Otros servicios de reservas y actividades relacionadas con los mismos</t>
  </si>
  <si>
    <t>801</t>
  </si>
  <si>
    <t>Actividades de seguridad privada</t>
  </si>
  <si>
    <t>802</t>
  </si>
  <si>
    <t>Servicios de sistemas de seguridad</t>
  </si>
  <si>
    <t>803</t>
  </si>
  <si>
    <t>Actividades de investigación</t>
  </si>
  <si>
    <t>Servicios integrales a edificios e instalaciones</t>
  </si>
  <si>
    <t>Actividades de limpieza</t>
  </si>
  <si>
    <t>Actividades de jardinería</t>
  </si>
  <si>
    <t>821</t>
  </si>
  <si>
    <t>Actividades administrativas y auxiliares de oficina</t>
  </si>
  <si>
    <t>822</t>
  </si>
  <si>
    <t>Actividades de los centros de llamadas</t>
  </si>
  <si>
    <t>823</t>
  </si>
  <si>
    <t>Organización de convenciones y ferias de muestras</t>
  </si>
  <si>
    <t>829</t>
  </si>
  <si>
    <t>Actividades de apoyo a las empresas n.c.o.p.</t>
  </si>
  <si>
    <t>Administración Pública y de la política económica y social</t>
  </si>
  <si>
    <t>Prestación de servicios a la comunidad en general</t>
  </si>
  <si>
    <t>Seguridad Social obligatoria</t>
  </si>
  <si>
    <t>851</t>
  </si>
  <si>
    <t>Educación preprimaria</t>
  </si>
  <si>
    <t>852</t>
  </si>
  <si>
    <t>Educación primaria</t>
  </si>
  <si>
    <t>853</t>
  </si>
  <si>
    <t>Educación secundaria</t>
  </si>
  <si>
    <t>854</t>
  </si>
  <si>
    <t>Educación postsecundaria</t>
  </si>
  <si>
    <t>855</t>
  </si>
  <si>
    <t>Otra educación</t>
  </si>
  <si>
    <t>856</t>
  </si>
  <si>
    <t>Actividades auxiliares a la educación</t>
  </si>
  <si>
    <t>861</t>
  </si>
  <si>
    <t>Actividades hospitalarias</t>
  </si>
  <si>
    <t>862</t>
  </si>
  <si>
    <t>Actividades médicas y odontológicas</t>
  </si>
  <si>
    <t>869</t>
  </si>
  <si>
    <t>Otras actividades sanitarias</t>
  </si>
  <si>
    <t>871</t>
  </si>
  <si>
    <t>Asistencia en establecimientos residenciales con cuidados sanitarios</t>
  </si>
  <si>
    <t>872</t>
  </si>
  <si>
    <t>Asistencia en establecimientos residenciales para personas con discapacidad intelectual, enfermedad mental y drogodependencia</t>
  </si>
  <si>
    <t>873</t>
  </si>
  <si>
    <t>Asistencia en establecimientos residenciales para personas mayores y con discapacidad física</t>
  </si>
  <si>
    <t>879</t>
  </si>
  <si>
    <t>Otras actividades de asistencia en establecimientos residenciales</t>
  </si>
  <si>
    <t>881</t>
  </si>
  <si>
    <t>Actividades de servicios sociales sin alojamiento para personas mayores y con discapacidad</t>
  </si>
  <si>
    <t>889</t>
  </si>
  <si>
    <t>Otros actividades de servicios sociales sin alojamiento</t>
  </si>
  <si>
    <t>900</t>
  </si>
  <si>
    <t>Actividades de creación, artísticas y espectáculos</t>
  </si>
  <si>
    <t>Actividades de bibliotecas, archivos, museos y otras actividades culturales</t>
  </si>
  <si>
    <t>920</t>
  </si>
  <si>
    <t>Actividades de juegos de azar y apuestas</t>
  </si>
  <si>
    <t>Actividades deportivas</t>
  </si>
  <si>
    <t>Actividades recreativas y de entretenimiento</t>
  </si>
  <si>
    <t>Actividades de organizaciones empresariales, profesionales y patronales</t>
  </si>
  <si>
    <t>Actividades sindicales</t>
  </si>
  <si>
    <t>Otras actividades asociativas</t>
  </si>
  <si>
    <t>Reparación de ordenadores y equipos de comunicación</t>
  </si>
  <si>
    <t>Reparación de efectos personales y artículos de uso doméstico</t>
  </si>
  <si>
    <t>Otros servicios personales</t>
  </si>
  <si>
    <t>Actividades de los hogares como empleadores de personal doméstico</t>
  </si>
  <si>
    <t>Actividades de los hogares como productores de bienes para uso propio</t>
  </si>
  <si>
    <t>Actividades de los hogares como productores de servicios para uso propio</t>
  </si>
  <si>
    <t>990</t>
  </si>
  <si>
    <t>Actividades de organizaciones y organismos extraterritoriales</t>
  </si>
  <si>
    <t>EDADa *** (11 veces más)</t>
  </si>
  <si>
    <t>A3 *** (62 veces más)</t>
  </si>
  <si>
    <t>O3 *** (3 veces más)</t>
  </si>
  <si>
    <t>Nada estresante</t>
  </si>
  <si>
    <t>Muy estresante</t>
  </si>
  <si>
    <t>Nada satisfactorio</t>
  </si>
  <si>
    <t>Muy satisfactorio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</si>
</sst>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</numFmts>
  <fonts count="44">
    <font>
      <sz val="10"/>
      <name val="Arial"/>
      <charset val="134"/>
    </font>
    <font>
      <sz val="12"/>
      <name val="Arial"/>
      <charset val="134"/>
    </font>
    <font>
      <sz val="10"/>
      <color rgb="FFC00000"/>
      <name val="Arial"/>
      <charset val="134"/>
    </font>
    <font>
      <sz val="10"/>
      <color theme="0"/>
      <name val="Arial"/>
      <charset val="134"/>
    </font>
    <font>
      <b/>
      <sz val="10"/>
      <name val="Arial"/>
      <charset val="134"/>
    </font>
    <font>
      <u/>
      <sz val="10"/>
      <color theme="10"/>
      <name val="Arial"/>
      <charset val="134"/>
    </font>
    <font>
      <sz val="10"/>
      <color indexed="8"/>
      <name val="Arial"/>
      <charset val="134"/>
    </font>
    <font>
      <b/>
      <sz val="10"/>
      <color indexed="8"/>
      <name val="Arial"/>
      <charset val="134"/>
    </font>
    <font>
      <sz val="10"/>
      <color theme="1"/>
      <name val="Arial"/>
      <charset val="134"/>
    </font>
    <font>
      <b/>
      <sz val="10"/>
      <color indexed="17"/>
      <name val="Arial"/>
      <charset val="134"/>
    </font>
    <font>
      <sz val="10"/>
      <color indexed="10"/>
      <name val="Arial"/>
      <charset val="134"/>
    </font>
    <font>
      <u/>
      <sz val="10"/>
      <color rgb="FF800080"/>
      <name val="Arial"/>
      <charset val="134"/>
    </font>
    <font>
      <sz val="10"/>
      <color rgb="FFFF0000"/>
      <name val="Arial"/>
      <charset val="134"/>
    </font>
    <font>
      <sz val="10"/>
      <color theme="3" tint="-0.249977111117893"/>
      <name val="Arial"/>
      <charset val="134"/>
    </font>
    <font>
      <sz val="10"/>
      <color indexed="56"/>
      <name val="Arial"/>
      <charset val="134"/>
    </font>
    <font>
      <b/>
      <sz val="18"/>
      <color theme="1"/>
      <name val="Arial"/>
      <charset val="134"/>
    </font>
    <font>
      <b/>
      <sz val="1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name val="Arial"/>
      <charset val="134"/>
    </font>
    <font>
      <sz val="11"/>
      <color theme="3" tint="-0.24997711111789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MS Sans Serif"/>
      <charset val="134"/>
    </font>
    <font>
      <sz val="11"/>
      <color theme="1"/>
      <name val="Calibri"/>
      <charset val="134"/>
      <scheme val="minor"/>
    </font>
    <font>
      <strike/>
      <sz val="10"/>
      <color rgb="FFFF0000"/>
      <name val="Arial"/>
      <charset val="134"/>
    </font>
    <font>
      <b/>
      <sz val="18"/>
      <name val="Arial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94203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21" fillId="0" borderId="0" applyFont="0" applyFill="0" applyBorder="0" applyAlignment="0" applyProtection="0">
      <alignment vertical="center"/>
    </xf>
    <xf numFmtId="177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178" fontId="21" fillId="0" borderId="0" applyFont="0" applyFill="0" applyBorder="0" applyAlignment="0" applyProtection="0">
      <alignment vertical="center"/>
    </xf>
    <xf numFmtId="179" fontId="2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center"/>
    </xf>
    <xf numFmtId="0" fontId="21" fillId="8" borderId="19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1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9" borderId="22" applyNumberFormat="0" applyAlignment="0" applyProtection="0">
      <alignment vertical="center"/>
    </xf>
    <xf numFmtId="0" fontId="30" fillId="10" borderId="23" applyNumberFormat="0" applyAlignment="0" applyProtection="0">
      <alignment vertical="center"/>
    </xf>
    <xf numFmtId="0" fontId="31" fillId="10" borderId="22" applyNumberFormat="0" applyAlignment="0" applyProtection="0">
      <alignment vertical="center"/>
    </xf>
    <xf numFmtId="0" fontId="32" fillId="11" borderId="24" applyNumberFormat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0" borderId="26" applyNumberFormat="0" applyFill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top"/>
      <protection locked="0"/>
    </xf>
    <xf numFmtId="0" fontId="0" fillId="0" borderId="0"/>
    <xf numFmtId="0" fontId="40" fillId="0" borderId="0"/>
    <xf numFmtId="0" fontId="0" fillId="0" borderId="0"/>
    <xf numFmtId="0" fontId="41" fillId="0" borderId="0"/>
  </cellStyleXfs>
  <cellXfs count="16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0" fontId="2" fillId="2" borderId="0" xfId="0" applyFont="1" applyFill="1"/>
    <xf numFmtId="0" fontId="3" fillId="3" borderId="0" xfId="0" applyFont="1" applyFill="1"/>
    <xf numFmtId="0" fontId="4" fillId="0" borderId="0" xfId="0" applyFont="1" applyAlignment="1">
      <alignment horizontal="left"/>
    </xf>
    <xf numFmtId="0" fontId="0" fillId="0" borderId="0" xfId="0" applyFont="1"/>
    <xf numFmtId="0" fontId="5" fillId="0" borderId="0" xfId="6"/>
    <xf numFmtId="0" fontId="0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0" xfId="0" applyFont="1" applyFill="1" applyAlignment="1">
      <alignment horizontal="left"/>
    </xf>
    <xf numFmtId="0" fontId="0" fillId="4" borderId="0" xfId="0" applyFill="1"/>
    <xf numFmtId="0" fontId="5" fillId="4" borderId="0" xfId="6" applyFill="1"/>
    <xf numFmtId="0" fontId="0" fillId="4" borderId="0" xfId="0" applyFont="1" applyFill="1"/>
    <xf numFmtId="0" fontId="0" fillId="0" borderId="0" xfId="50"/>
    <xf numFmtId="0" fontId="2" fillId="2" borderId="0" xfId="50" applyFont="1" applyFill="1"/>
    <xf numFmtId="0" fontId="3" fillId="3" borderId="0" xfId="50" applyFont="1" applyFill="1"/>
    <xf numFmtId="0" fontId="4" fillId="0" borderId="0" xfId="50" applyFont="1"/>
    <xf numFmtId="0" fontId="0" fillId="0" borderId="0" xfId="50" applyAlignment="1">
      <alignment horizontal="left"/>
    </xf>
    <xf numFmtId="0" fontId="0" fillId="0" borderId="0" xfId="0" applyFont="1" applyAlignment="1">
      <alignment horizontal="left" wrapText="1"/>
    </xf>
    <xf numFmtId="0" fontId="0" fillId="0" borderId="0" xfId="0" applyFont="1" applyAlignment="1">
      <alignment wrapText="1"/>
    </xf>
    <xf numFmtId="49" fontId="0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4" fillId="0" borderId="0" xfId="0" applyFont="1"/>
    <xf numFmtId="0" fontId="8" fillId="0" borderId="0" xfId="0" applyFont="1" applyAlignment="1">
      <alignment horizontal="left"/>
    </xf>
    <xf numFmtId="0" fontId="8" fillId="0" borderId="0" xfId="0" applyFont="1"/>
    <xf numFmtId="0" fontId="0" fillId="0" borderId="0" xfId="0" applyFont="1" applyAlignment="1">
      <alignment horizontal="left" vertical="top"/>
    </xf>
    <xf numFmtId="4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0" xfId="6" applyFill="1"/>
    <xf numFmtId="0" fontId="6" fillId="0" borderId="0" xfId="0" applyFont="1" applyAlignment="1">
      <alignment horizontal="left" vertical="top"/>
    </xf>
    <xf numFmtId="0" fontId="0" fillId="5" borderId="0" xfId="0" applyFont="1" applyFill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0" fillId="0" borderId="0" xfId="0" applyFont="1"/>
    <xf numFmtId="0" fontId="11" fillId="0" borderId="0" xfId="6" applyFont="1"/>
    <xf numFmtId="0" fontId="0" fillId="0" borderId="0" xfId="52" applyAlignment="1">
      <alignment horizontal="left"/>
    </xf>
    <xf numFmtId="0" fontId="4" fillId="0" borderId="0" xfId="50" applyFont="1" applyAlignment="1">
      <alignment vertical="top"/>
    </xf>
    <xf numFmtId="0" fontId="12" fillId="0" borderId="0" xfId="0" applyFont="1" applyAlignment="1">
      <alignment vertical="center"/>
    </xf>
    <xf numFmtId="0" fontId="0" fillId="0" borderId="0" xfId="50" applyAlignment="1">
      <alignment vertical="top"/>
    </xf>
    <xf numFmtId="0" fontId="0" fillId="0" borderId="0" xfId="50" applyAlignment="1">
      <alignment vertical="center"/>
    </xf>
    <xf numFmtId="0" fontId="0" fillId="0" borderId="1" xfId="50" applyBorder="1"/>
    <xf numFmtId="0" fontId="0" fillId="0" borderId="0" xfId="50" applyAlignment="1">
      <alignment horizontal="center" vertical="top"/>
    </xf>
    <xf numFmtId="0" fontId="13" fillId="0" borderId="0" xfId="50" applyFont="1"/>
    <xf numFmtId="0" fontId="14" fillId="0" borderId="0" xfId="50" applyFont="1"/>
    <xf numFmtId="0" fontId="0" fillId="0" borderId="0" xfId="50" applyAlignment="1">
      <alignment wrapText="1"/>
    </xf>
    <xf numFmtId="0" fontId="0" fillId="0" borderId="0" xfId="50" applyAlignment="1">
      <alignment horizontal="center" vertical="center"/>
    </xf>
    <xf numFmtId="0" fontId="15" fillId="0" borderId="2" xfId="50" applyFont="1" applyBorder="1" applyAlignment="1">
      <alignment horizontal="left" vertical="top" wrapText="1"/>
    </xf>
    <xf numFmtId="0" fontId="16" fillId="2" borderId="3" xfId="50" applyFont="1" applyFill="1" applyBorder="1" applyAlignment="1">
      <alignment horizontal="center" vertical="center" wrapText="1"/>
    </xf>
    <xf numFmtId="0" fontId="16" fillId="2" borderId="4" xfId="50" applyFont="1" applyFill="1" applyBorder="1" applyAlignment="1">
      <alignment horizontal="center" vertical="center" wrapText="1"/>
    </xf>
    <xf numFmtId="0" fontId="16" fillId="2" borderId="4" xfId="50" applyFont="1" applyFill="1" applyBorder="1" applyAlignment="1">
      <alignment horizontal="center" vertical="center" textRotation="90" wrapText="1"/>
    </xf>
    <xf numFmtId="0" fontId="17" fillId="2" borderId="4" xfId="50" applyFont="1" applyFill="1" applyBorder="1" applyAlignment="1">
      <alignment horizontal="center" vertical="center" wrapText="1"/>
    </xf>
    <xf numFmtId="0" fontId="18" fillId="2" borderId="4" xfId="50" applyFont="1" applyFill="1" applyBorder="1" applyAlignment="1">
      <alignment horizontal="center" vertical="center" wrapText="1"/>
    </xf>
    <xf numFmtId="0" fontId="18" fillId="2" borderId="5" xfId="50" applyFont="1" applyFill="1" applyBorder="1" applyAlignment="1">
      <alignment vertical="center" wrapText="1"/>
    </xf>
    <xf numFmtId="0" fontId="0" fillId="0" borderId="6" xfId="50" applyBorder="1"/>
    <xf numFmtId="0" fontId="0" fillId="0" borderId="7" xfId="50" applyBorder="1"/>
    <xf numFmtId="0" fontId="0" fillId="0" borderId="7" xfId="50" applyBorder="1" applyAlignment="1">
      <alignment horizontal="center"/>
    </xf>
    <xf numFmtId="0" fontId="0" fillId="0" borderId="8" xfId="50" applyBorder="1" applyAlignment="1">
      <alignment horizontal="center"/>
    </xf>
    <xf numFmtId="0" fontId="5" fillId="0" borderId="7" xfId="6" applyFill="1" applyBorder="1" applyAlignment="1">
      <alignment horizontal="center"/>
    </xf>
    <xf numFmtId="0" fontId="0" fillId="0" borderId="8" xfId="50" applyBorder="1" applyAlignment="1">
      <alignment horizontal="left" wrapText="1"/>
    </xf>
    <xf numFmtId="0" fontId="0" fillId="0" borderId="9" xfId="50" applyBorder="1" applyAlignment="1">
      <alignment horizontal="center" vertical="center"/>
    </xf>
    <xf numFmtId="0" fontId="0" fillId="0" borderId="9" xfId="50" applyBorder="1"/>
    <xf numFmtId="0" fontId="4" fillId="6" borderId="10" xfId="50" applyFont="1" applyFill="1" applyBorder="1" applyAlignment="1">
      <alignment horizontal="center" vertical="center" wrapText="1"/>
    </xf>
    <xf numFmtId="0" fontId="0" fillId="0" borderId="11" xfId="50" applyBorder="1" applyAlignment="1">
      <alignment vertical="top"/>
    </xf>
    <xf numFmtId="0" fontId="0" fillId="0" borderId="12" xfId="50" applyBorder="1" applyAlignment="1">
      <alignment horizontal="center" vertical="top"/>
    </xf>
    <xf numFmtId="0" fontId="0" fillId="0" borderId="0" xfId="50" applyAlignment="1">
      <alignment horizontal="center" vertical="top" wrapText="1"/>
    </xf>
    <xf numFmtId="0" fontId="0" fillId="0" borderId="12" xfId="50" applyBorder="1" applyAlignment="1">
      <alignment horizontal="left" vertical="top" wrapText="1"/>
    </xf>
    <xf numFmtId="0" fontId="0" fillId="0" borderId="9" xfId="50" applyBorder="1" applyAlignment="1">
      <alignment vertical="top"/>
    </xf>
    <xf numFmtId="0" fontId="4" fillId="6" borderId="9" xfId="50" applyFont="1" applyFill="1" applyBorder="1" applyAlignment="1">
      <alignment horizontal="center" vertical="center" wrapText="1"/>
    </xf>
    <xf numFmtId="0" fontId="5" fillId="0" borderId="0" xfId="6" applyFill="1" applyBorder="1" applyAlignment="1" applyProtection="1">
      <alignment horizontal="center" vertical="top" wrapText="1"/>
    </xf>
    <xf numFmtId="0" fontId="0" fillId="0" borderId="13" xfId="50" applyBorder="1" applyAlignment="1">
      <alignment vertical="top"/>
    </xf>
    <xf numFmtId="0" fontId="0" fillId="0" borderId="1" xfId="50" applyBorder="1" applyAlignment="1">
      <alignment vertical="top"/>
    </xf>
    <xf numFmtId="0" fontId="0" fillId="0" borderId="1" xfId="50" applyBorder="1" applyAlignment="1">
      <alignment horizontal="center" vertical="top"/>
    </xf>
    <xf numFmtId="0" fontId="0" fillId="0" borderId="14" xfId="50" applyBorder="1" applyAlignment="1">
      <alignment horizontal="center" vertical="top"/>
    </xf>
    <xf numFmtId="0" fontId="0" fillId="0" borderId="1" xfId="50" applyBorder="1" applyAlignment="1">
      <alignment horizontal="center" vertical="top" wrapText="1"/>
    </xf>
    <xf numFmtId="0" fontId="5" fillId="0" borderId="1" xfId="6" applyFill="1" applyBorder="1" applyAlignment="1" applyProtection="1">
      <alignment horizontal="center" vertical="top" wrapText="1"/>
    </xf>
    <xf numFmtId="0" fontId="0" fillId="0" borderId="14" xfId="50" applyBorder="1" applyAlignment="1">
      <alignment horizontal="left" vertical="top" wrapText="1"/>
    </xf>
    <xf numFmtId="0" fontId="0" fillId="0" borderId="15" xfId="50" applyBorder="1" applyAlignment="1">
      <alignment horizontal="center" vertical="center"/>
    </xf>
    <xf numFmtId="0" fontId="0" fillId="0" borderId="15" xfId="50" applyBorder="1" applyAlignment="1">
      <alignment vertical="top"/>
    </xf>
    <xf numFmtId="0" fontId="4" fillId="6" borderId="15" xfId="50" applyFont="1" applyFill="1" applyBorder="1" applyAlignment="1">
      <alignment horizontal="center" vertical="center" wrapText="1"/>
    </xf>
    <xf numFmtId="0" fontId="0" fillId="0" borderId="11" xfId="50" applyBorder="1"/>
    <xf numFmtId="0" fontId="0" fillId="0" borderId="0" xfId="50" applyAlignment="1">
      <alignment horizontal="center"/>
    </xf>
    <xf numFmtId="0" fontId="0" fillId="0" borderId="12" xfId="50" applyBorder="1" applyAlignment="1">
      <alignment horizontal="center"/>
    </xf>
    <xf numFmtId="0" fontId="0" fillId="0" borderId="12" xfId="50" applyBorder="1" applyAlignment="1">
      <alignment horizontal="left" wrapText="1"/>
    </xf>
    <xf numFmtId="0" fontId="0" fillId="0" borderId="11" xfId="50" applyBorder="1" applyAlignment="1">
      <alignment vertical="center"/>
    </xf>
    <xf numFmtId="0" fontId="0" fillId="0" borderId="12" xfId="50" applyBorder="1" applyAlignment="1">
      <alignment horizontal="center" vertical="center"/>
    </xf>
    <xf numFmtId="0" fontId="0" fillId="0" borderId="12" xfId="50" applyBorder="1" applyAlignment="1">
      <alignment vertical="center" wrapText="1"/>
    </xf>
    <xf numFmtId="0" fontId="0" fillId="0" borderId="1" xfId="0" applyFont="1" applyBorder="1"/>
    <xf numFmtId="0" fontId="0" fillId="0" borderId="1" xfId="50" applyBorder="1" applyAlignment="1">
      <alignment horizontal="center"/>
    </xf>
    <xf numFmtId="0" fontId="0" fillId="0" borderId="14" xfId="50" applyBorder="1" applyAlignment="1">
      <alignment horizontal="center"/>
    </xf>
    <xf numFmtId="0" fontId="11" fillId="0" borderId="1" xfId="6" applyFont="1" applyFill="1" applyBorder="1" applyAlignment="1" applyProtection="1">
      <alignment horizontal="center" vertical="top" wrapText="1"/>
    </xf>
    <xf numFmtId="0" fontId="0" fillId="0" borderId="14" xfId="50" applyBorder="1" applyAlignment="1">
      <alignment horizontal="left" wrapText="1"/>
    </xf>
    <xf numFmtId="0" fontId="0" fillId="0" borderId="15" xfId="50" applyBorder="1"/>
    <xf numFmtId="0" fontId="5" fillId="0" borderId="9" xfId="6" applyFill="1" applyBorder="1" applyAlignment="1">
      <alignment vertical="top"/>
    </xf>
    <xf numFmtId="0" fontId="0" fillId="0" borderId="12" xfId="50" applyBorder="1" applyAlignment="1">
      <alignment horizontal="left"/>
    </xf>
    <xf numFmtId="0" fontId="0" fillId="0" borderId="13" xfId="50" applyBorder="1"/>
    <xf numFmtId="0" fontId="0" fillId="0" borderId="14" xfId="50" applyBorder="1" applyAlignment="1">
      <alignment horizontal="left"/>
    </xf>
    <xf numFmtId="0" fontId="0" fillId="0" borderId="11" xfId="50" applyBorder="1" applyAlignment="1">
      <alignment horizontal="left"/>
    </xf>
    <xf numFmtId="0" fontId="0" fillId="0" borderId="13" xfId="50" applyBorder="1" applyAlignment="1">
      <alignment horizontal="left"/>
    </xf>
    <xf numFmtId="0" fontId="0" fillId="0" borderId="10" xfId="50" applyBorder="1"/>
    <xf numFmtId="0" fontId="0" fillId="0" borderId="12" xfId="50" applyBorder="1" applyAlignment="1">
      <alignment horizontal="left" vertical="center" wrapText="1"/>
    </xf>
    <xf numFmtId="0" fontId="0" fillId="0" borderId="13" xfId="50" applyBorder="1" applyAlignment="1">
      <alignment vertical="center"/>
    </xf>
    <xf numFmtId="0" fontId="0" fillId="0" borderId="1" xfId="53" applyFont="1" applyBorder="1" applyAlignment="1">
      <alignment horizontal="left" vertical="center"/>
    </xf>
    <xf numFmtId="0" fontId="0" fillId="0" borderId="1" xfId="50" applyBorder="1" applyAlignment="1">
      <alignment horizontal="center" vertical="center"/>
    </xf>
    <xf numFmtId="0" fontId="0" fillId="0" borderId="14" xfId="50" applyBorder="1" applyAlignment="1">
      <alignment horizontal="center" vertical="center"/>
    </xf>
    <xf numFmtId="0" fontId="0" fillId="0" borderId="14" xfId="50" applyBorder="1" applyAlignment="1">
      <alignment horizontal="left" vertical="center" wrapText="1"/>
    </xf>
    <xf numFmtId="0" fontId="0" fillId="0" borderId="11" xfId="50" applyBorder="1" applyAlignment="1">
      <alignment horizontal="left" vertical="top"/>
    </xf>
    <xf numFmtId="0" fontId="0" fillId="0" borderId="0" xfId="50" applyAlignment="1">
      <alignment horizontal="left" vertical="top"/>
    </xf>
    <xf numFmtId="0" fontId="0" fillId="0" borderId="0" xfId="50" applyAlignment="1">
      <alignment horizontal="left" wrapText="1"/>
    </xf>
    <xf numFmtId="0" fontId="0" fillId="0" borderId="1" xfId="50" applyBorder="1" applyAlignment="1">
      <alignment horizontal="left"/>
    </xf>
    <xf numFmtId="0" fontId="0" fillId="0" borderId="1" xfId="50" applyBorder="1" applyAlignment="1">
      <alignment horizontal="left" vertical="top"/>
    </xf>
    <xf numFmtId="0" fontId="0" fillId="0" borderId="14" xfId="0" applyFont="1" applyBorder="1" applyAlignment="1">
      <alignment horizontal="left" wrapText="1"/>
    </xf>
    <xf numFmtId="0" fontId="0" fillId="0" borderId="16" xfId="50" applyBorder="1" applyAlignment="1">
      <alignment horizontal="center" vertical="top" wrapText="1"/>
    </xf>
    <xf numFmtId="0" fontId="0" fillId="0" borderId="0" xfId="53" applyFont="1" applyAlignment="1">
      <alignment horizontal="left" vertical="center"/>
    </xf>
    <xf numFmtId="0" fontId="0" fillId="0" borderId="9" xfId="50" applyBorder="1" applyAlignment="1">
      <alignment horizontal="center" vertical="top"/>
    </xf>
    <xf numFmtId="0" fontId="0" fillId="0" borderId="0" xfId="0" applyFont="1" applyAlignment="1">
      <alignment horizontal="left" vertical="top" wrapText="1"/>
    </xf>
    <xf numFmtId="0" fontId="0" fillId="0" borderId="14" xfId="50" applyBorder="1" applyAlignment="1">
      <alignment horizontal="center" vertical="center" wrapText="1"/>
    </xf>
    <xf numFmtId="0" fontId="0" fillId="0" borderId="14" xfId="50" applyBorder="1" applyAlignment="1">
      <alignment wrapText="1"/>
    </xf>
    <xf numFmtId="0" fontId="0" fillId="0" borderId="17" xfId="50" applyBorder="1"/>
    <xf numFmtId="0" fontId="0" fillId="0" borderId="16" xfId="50" applyBorder="1"/>
    <xf numFmtId="0" fontId="0" fillId="0" borderId="16" xfId="50" applyBorder="1" applyAlignment="1">
      <alignment horizontal="center" vertical="center"/>
    </xf>
    <xf numFmtId="0" fontId="0" fillId="0" borderId="18" xfId="50" applyBorder="1" applyAlignment="1">
      <alignment horizontal="center" vertical="center"/>
    </xf>
    <xf numFmtId="0" fontId="0" fillId="0" borderId="16" xfId="50" applyBorder="1" applyAlignment="1">
      <alignment horizontal="center"/>
    </xf>
    <xf numFmtId="0" fontId="5" fillId="0" borderId="16" xfId="6" applyFill="1" applyBorder="1" applyAlignment="1" applyProtection="1">
      <alignment horizontal="center" vertical="top" wrapText="1"/>
    </xf>
    <xf numFmtId="0" fontId="0" fillId="0" borderId="18" xfId="50" applyBorder="1" applyAlignment="1">
      <alignment horizontal="left"/>
    </xf>
    <xf numFmtId="0" fontId="0" fillId="0" borderId="10" xfId="50" applyBorder="1" applyAlignment="1">
      <alignment horizontal="center" vertical="center"/>
    </xf>
    <xf numFmtId="0" fontId="0" fillId="0" borderId="0" xfId="53" applyFont="1" applyAlignment="1">
      <alignment horizontal="left" vertical="top"/>
    </xf>
    <xf numFmtId="0" fontId="0" fillId="0" borderId="18" xfId="50" applyBorder="1" applyAlignment="1">
      <alignment horizontal="center"/>
    </xf>
    <xf numFmtId="0" fontId="0" fillId="0" borderId="16" xfId="50" applyBorder="1" applyAlignment="1">
      <alignment horizontal="left" wrapText="1"/>
    </xf>
    <xf numFmtId="0" fontId="11" fillId="0" borderId="0" xfId="6" applyFont="1" applyFill="1" applyBorder="1" applyAlignment="1" applyProtection="1">
      <alignment horizontal="center" vertical="top" wrapText="1"/>
    </xf>
    <xf numFmtId="0" fontId="0" fillId="0" borderId="14" xfId="0" applyFont="1" applyBorder="1" applyAlignment="1">
      <alignment wrapText="1"/>
    </xf>
    <xf numFmtId="0" fontId="0" fillId="0" borderId="14" xfId="50" applyBorder="1" applyAlignment="1">
      <alignment horizontal="left" vertical="center"/>
    </xf>
    <xf numFmtId="0" fontId="0" fillId="0" borderId="1" xfId="53" applyFont="1" applyBorder="1" applyAlignment="1">
      <alignment horizontal="left" vertical="top"/>
    </xf>
    <xf numFmtId="0" fontId="0" fillId="0" borderId="0" xfId="50" applyAlignment="1">
      <alignment horizontal="left" vertical="top" wrapText="1"/>
    </xf>
    <xf numFmtId="0" fontId="0" fillId="0" borderId="13" xfId="50" applyBorder="1" applyAlignment="1">
      <alignment horizontal="left" vertical="top"/>
    </xf>
    <xf numFmtId="0" fontId="0" fillId="0" borderId="14" xfId="0" applyFont="1" applyBorder="1" applyAlignment="1">
      <alignment horizontal="left"/>
    </xf>
    <xf numFmtId="0" fontId="0" fillId="0" borderId="18" xfId="50" applyBorder="1" applyAlignment="1">
      <alignment horizontal="center" vertical="top"/>
    </xf>
    <xf numFmtId="0" fontId="0" fillId="0" borderId="11" xfId="50" applyBorder="1" applyAlignment="1">
      <alignment horizontal="center" vertical="center"/>
    </xf>
    <xf numFmtId="0" fontId="0" fillId="0" borderId="0" xfId="50" applyAlignment="1">
      <alignment horizontal="center" vertical="center" wrapText="1"/>
    </xf>
    <xf numFmtId="0" fontId="5" fillId="0" borderId="0" xfId="6" applyFill="1" applyBorder="1" applyAlignment="1" applyProtection="1">
      <alignment horizontal="center" vertical="center" wrapText="1"/>
    </xf>
    <xf numFmtId="0" fontId="0" fillId="0" borderId="18" xfId="50" applyBorder="1" applyAlignment="1">
      <alignment horizontal="left" vertical="top" wrapText="1"/>
    </xf>
    <xf numFmtId="0" fontId="0" fillId="0" borderId="17" xfId="50" applyBorder="1" applyAlignment="1">
      <alignment vertical="top"/>
    </xf>
    <xf numFmtId="0" fontId="0" fillId="0" borderId="16" xfId="50" applyBorder="1" applyAlignment="1">
      <alignment vertical="top"/>
    </xf>
    <xf numFmtId="0" fontId="0" fillId="0" borderId="16" xfId="50" applyBorder="1" applyAlignment="1">
      <alignment horizontal="center" vertical="top"/>
    </xf>
    <xf numFmtId="0" fontId="0" fillId="0" borderId="17" xfId="50" applyBorder="1" applyAlignment="1">
      <alignment horizontal="center" vertical="top"/>
    </xf>
    <xf numFmtId="0" fontId="0" fillId="0" borderId="16" xfId="50" applyBorder="1" applyAlignment="1">
      <alignment horizontal="left" vertical="top" wrapText="1"/>
    </xf>
    <xf numFmtId="0" fontId="0" fillId="0" borderId="11" xfId="50" applyBorder="1" applyAlignment="1">
      <alignment horizontal="center"/>
    </xf>
    <xf numFmtId="0" fontId="0" fillId="4" borderId="0" xfId="50" applyFill="1" applyAlignment="1">
      <alignment horizontal="center" vertical="top"/>
    </xf>
    <xf numFmtId="0" fontId="0" fillId="0" borderId="11" xfId="50" applyBorder="1" applyAlignment="1">
      <alignment horizontal="center" vertical="top"/>
    </xf>
    <xf numFmtId="0" fontId="0" fillId="0" borderId="0" xfId="50" applyAlignment="1">
      <alignment horizontal="left" vertical="center"/>
    </xf>
    <xf numFmtId="0" fontId="0" fillId="0" borderId="1" xfId="50" applyBorder="1" applyAlignment="1">
      <alignment horizontal="left" vertical="center"/>
    </xf>
    <xf numFmtId="0" fontId="0" fillId="0" borderId="13" xfId="50" applyBorder="1" applyAlignment="1">
      <alignment horizontal="center" vertical="top"/>
    </xf>
    <xf numFmtId="0" fontId="0" fillId="0" borderId="1" xfId="0" applyFont="1" applyBorder="1" applyAlignment="1">
      <alignment vertical="center"/>
    </xf>
    <xf numFmtId="0" fontId="19" fillId="0" borderId="0" xfId="50" applyFont="1"/>
    <xf numFmtId="0" fontId="19" fillId="7" borderId="0" xfId="50" applyFont="1" applyFill="1" applyAlignment="1">
      <alignment horizontal="center"/>
    </xf>
    <xf numFmtId="0" fontId="13" fillId="0" borderId="0" xfId="50" applyFont="1" applyAlignment="1">
      <alignment horizontal="center" vertical="center"/>
    </xf>
    <xf numFmtId="0" fontId="20" fillId="0" borderId="0" xfId="50" applyFont="1" applyAlignment="1">
      <alignment horizontal="left" vertical="top"/>
    </xf>
    <xf numFmtId="0" fontId="13" fillId="0" borderId="0" xfId="50" applyFont="1" applyAlignment="1">
      <alignment wrapText="1"/>
    </xf>
    <xf numFmtId="0" fontId="20" fillId="0" borderId="0" xfId="50" applyFont="1" applyAlignment="1">
      <alignment horizontal="left" vertical="top" wrapText="1"/>
    </xf>
    <xf numFmtId="0" fontId="0" fillId="0" borderId="0" xfId="50" applyAlignment="1" quotePrefix="1">
      <alignment horizontal="left"/>
    </xf>
  </cellXfs>
  <cellStyles count="54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  <cellStyle name="Hipervínculo 2" xfId="49"/>
    <cellStyle name="Normal 2" xfId="50"/>
    <cellStyle name="Normal 3" xfId="51"/>
    <cellStyle name="Normal 4" xfId="52"/>
    <cellStyle name="Normal 5" xfId="53"/>
  </cellStyles>
  <tableStyles count="0" defaultTableStyle="TableStyleMedium9" defaultPivotStyle="PivotStyleLight16"/>
  <colors>
    <mruColors>
      <color rgb="00B8CCE4"/>
      <color rgb="00FFFF99"/>
      <color rgb="00FFCC99"/>
      <color rgb="00FFFFCC"/>
      <color rgb="00FFC000"/>
      <color rgb="0099CC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ine.es/dyngs/INEbase/es/operacion.htm?c=Estadistica_C&amp;cid=1254736177032&amp;menu=ultiDatos&amp;idp=1254735976614" TargetMode="External"/><Relationship Id="rId1" Type="http://schemas.openxmlformats.org/officeDocument/2006/relationships/hyperlink" Target="http://www.ine.es/dyngs/INEbase/es/operacion.htm?c=Estadistica_C&amp;cid=1254736177033&amp;menu=ultiDatos&amp;idp=12547359766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P438"/>
  <sheetViews>
    <sheetView showGridLines="0" tabSelected="1" workbookViewId="0">
      <pane ySplit="1" topLeftCell="A407" activePane="bottomLeft" state="frozen"/>
      <selection/>
      <selection pane="bottomLeft" activeCell="I427" sqref="I427"/>
    </sheetView>
  </sheetViews>
  <sheetFormatPr defaultColWidth="11.4285714285714" defaultRowHeight="14.25" customHeight="1"/>
  <cols>
    <col min="1" max="1" width="25.4285714285714" style="17" customWidth="1"/>
    <col min="2" max="2" width="10.8571428571429" style="17" customWidth="1"/>
    <col min="3" max="3" width="9.42857142857143" style="17" customWidth="1"/>
    <col min="4" max="5" width="4.71428571428571" style="17" customWidth="1"/>
    <col min="6" max="6" width="10.4285714285714" style="48" customWidth="1"/>
    <col min="7" max="7" width="7" style="48" customWidth="1"/>
    <col min="8" max="8" width="11.2857142857143" style="48" customWidth="1"/>
    <col min="9" max="9" width="96.7142857142857" style="49" customWidth="1"/>
    <col min="10" max="10" width="18.4285714285714" style="50" customWidth="1"/>
    <col min="11" max="11" width="11.1428571428571" style="17" customWidth="1"/>
    <col min="12" max="12" width="26.5714285714286" style="17" customWidth="1"/>
    <col min="13" max="16384" width="11.4285714285714" style="17"/>
  </cols>
  <sheetData>
    <row r="1" ht="51" customHeight="1" spans="1:12">
      <c r="A1" s="51" t="s">
        <v>0</v>
      </c>
      <c r="B1" s="51"/>
      <c r="C1" s="51"/>
      <c r="D1" s="51"/>
      <c r="E1" s="51"/>
      <c r="F1" s="51"/>
      <c r="G1" s="51"/>
      <c r="H1" s="51"/>
      <c r="I1" s="51"/>
    </row>
    <row r="2" ht="74.1" customHeight="1" spans="1:12">
      <c r="A2" s="52" t="s">
        <v>1</v>
      </c>
      <c r="B2" s="52" t="s">
        <v>2</v>
      </c>
      <c r="C2" s="53" t="s">
        <v>3</v>
      </c>
      <c r="D2" s="53" t="s">
        <v>4</v>
      </c>
      <c r="E2" s="54" t="s">
        <v>5</v>
      </c>
      <c r="F2" s="53" t="s">
        <v>6</v>
      </c>
      <c r="G2" s="53" t="s">
        <v>7</v>
      </c>
      <c r="H2" s="55" t="s">
        <v>8</v>
      </c>
      <c r="I2" s="53" t="s">
        <v>9</v>
      </c>
      <c r="J2" s="56" t="s">
        <v>10</v>
      </c>
      <c r="K2" s="57"/>
    </row>
    <row r="3" customHeight="1" spans="1:12">
      <c r="A3" s="58" t="s">
        <v>11</v>
      </c>
      <c r="B3" s="59" t="s">
        <v>12</v>
      </c>
      <c r="C3" s="60">
        <v>2</v>
      </c>
      <c r="D3" s="61" t="s">
        <v>13</v>
      </c>
      <c r="E3" s="60"/>
      <c r="F3" s="60">
        <v>1</v>
      </c>
      <c r="G3" s="60">
        <v>1</v>
      </c>
      <c r="H3" s="62" t="s">
        <v>14</v>
      </c>
      <c r="I3" s="63" t="s">
        <v>15</v>
      </c>
      <c r="J3" s="64"/>
      <c r="K3" s="65"/>
      <c r="L3" s="66" t="s">
        <v>16</v>
      </c>
    </row>
    <row r="4" s="43" customFormat="1" customHeight="1" spans="1:12">
      <c r="A4" s="67" t="s">
        <v>17</v>
      </c>
      <c r="C4" s="46">
        <v>7</v>
      </c>
      <c r="D4" s="68" t="s">
        <v>13</v>
      </c>
      <c r="E4" s="46"/>
      <c r="F4" s="69">
        <f t="shared" ref="F4:F67" si="0">F3+C3</f>
        <v>3</v>
      </c>
      <c r="G4" s="69">
        <f t="shared" ref="G4:G70" si="1">G3+1</f>
        <v>2</v>
      </c>
      <c r="H4" s="69"/>
      <c r="I4" s="70" t="s">
        <v>18</v>
      </c>
      <c r="J4" s="64"/>
      <c r="K4" s="71"/>
      <c r="L4" s="72"/>
    </row>
    <row r="5" s="43" customFormat="1" customHeight="1" spans="1:12">
      <c r="A5" s="67" t="s">
        <v>19</v>
      </c>
      <c r="C5" s="46">
        <v>2</v>
      </c>
      <c r="D5" s="68" t="s">
        <v>13</v>
      </c>
      <c r="E5" s="46"/>
      <c r="F5" s="69">
        <f t="shared" si="0"/>
        <v>10</v>
      </c>
      <c r="G5" s="69">
        <f t="shared" si="1"/>
        <v>3</v>
      </c>
      <c r="H5" s="69"/>
      <c r="I5" s="70" t="s">
        <v>20</v>
      </c>
      <c r="J5" s="64"/>
      <c r="K5" s="71"/>
      <c r="L5" s="72"/>
    </row>
    <row r="6" s="43" customFormat="1" customHeight="1" spans="1:12">
      <c r="A6" s="67" t="s">
        <v>21</v>
      </c>
      <c r="B6" s="43" t="s">
        <v>22</v>
      </c>
      <c r="C6" s="46">
        <v>1</v>
      </c>
      <c r="D6" s="68" t="s">
        <v>13</v>
      </c>
      <c r="E6" s="46"/>
      <c r="F6" s="69">
        <f t="shared" si="0"/>
        <v>12</v>
      </c>
      <c r="G6" s="69">
        <f t="shared" si="1"/>
        <v>4</v>
      </c>
      <c r="H6" s="73" t="s">
        <v>14</v>
      </c>
      <c r="I6" s="70" t="s">
        <v>23</v>
      </c>
      <c r="J6" s="64"/>
      <c r="K6" s="71"/>
      <c r="L6" s="72"/>
    </row>
    <row r="7" s="43" customFormat="1" ht="15" customHeight="1" spans="1:12">
      <c r="A7" s="74" t="s">
        <v>24</v>
      </c>
      <c r="B7" s="75" t="s">
        <v>25</v>
      </c>
      <c r="C7" s="76">
        <v>3</v>
      </c>
      <c r="D7" s="77" t="s">
        <v>26</v>
      </c>
      <c r="E7" s="76"/>
      <c r="F7" s="78">
        <f t="shared" si="0"/>
        <v>13</v>
      </c>
      <c r="G7" s="78">
        <f t="shared" si="1"/>
        <v>5</v>
      </c>
      <c r="H7" s="79" t="s">
        <v>27</v>
      </c>
      <c r="I7" s="80" t="s">
        <v>28</v>
      </c>
      <c r="J7" s="81"/>
      <c r="K7" s="82"/>
      <c r="L7" s="83"/>
    </row>
    <row r="8" s="43" customFormat="1" customHeight="1" spans="1:12">
      <c r="A8" s="67" t="s">
        <v>29</v>
      </c>
      <c r="B8" s="43" t="s">
        <v>30</v>
      </c>
      <c r="C8" s="46">
        <v>1</v>
      </c>
      <c r="D8" s="68" t="s">
        <v>13</v>
      </c>
      <c r="E8" s="46"/>
      <c r="F8" s="69">
        <f t="shared" si="0"/>
        <v>16</v>
      </c>
      <c r="G8" s="69">
        <f t="shared" si="1"/>
        <v>6</v>
      </c>
      <c r="H8" s="73" t="s">
        <v>14</v>
      </c>
      <c r="I8" s="70" t="s">
        <v>31</v>
      </c>
      <c r="J8" s="64"/>
      <c r="K8" s="71"/>
      <c r="L8" s="66" t="s">
        <v>32</v>
      </c>
    </row>
    <row r="9" s="43" customFormat="1" customHeight="1" spans="1:12">
      <c r="A9" s="67" t="s">
        <v>33</v>
      </c>
      <c r="B9" s="43" t="s">
        <v>34</v>
      </c>
      <c r="C9" s="46">
        <v>1</v>
      </c>
      <c r="D9" s="68" t="s">
        <v>13</v>
      </c>
      <c r="E9" s="46"/>
      <c r="F9" s="69">
        <f t="shared" si="0"/>
        <v>17</v>
      </c>
      <c r="G9" s="69">
        <f t="shared" si="1"/>
        <v>7</v>
      </c>
      <c r="H9" s="73" t="s">
        <v>14</v>
      </c>
      <c r="I9" s="70" t="s">
        <v>35</v>
      </c>
      <c r="J9" s="64" t="s">
        <v>36</v>
      </c>
      <c r="K9" s="71"/>
      <c r="L9" s="72"/>
    </row>
    <row r="10" s="43" customFormat="1" customHeight="1" spans="1:12">
      <c r="A10" s="67" t="s">
        <v>37</v>
      </c>
      <c r="B10" s="43" t="s">
        <v>30</v>
      </c>
      <c r="C10" s="46">
        <v>1</v>
      </c>
      <c r="D10" s="68" t="s">
        <v>13</v>
      </c>
      <c r="E10" s="46"/>
      <c r="F10" s="69">
        <f t="shared" si="0"/>
        <v>18</v>
      </c>
      <c r="G10" s="69">
        <f t="shared" si="1"/>
        <v>8</v>
      </c>
      <c r="H10" s="73" t="s">
        <v>14</v>
      </c>
      <c r="I10" s="70" t="s">
        <v>38</v>
      </c>
      <c r="J10" s="64" t="s">
        <v>36</v>
      </c>
      <c r="K10" s="71"/>
      <c r="L10" s="72"/>
    </row>
    <row r="11" s="43" customFormat="1" customHeight="1" spans="1:12">
      <c r="A11" s="67" t="s">
        <v>39</v>
      </c>
      <c r="C11" s="46">
        <v>2</v>
      </c>
      <c r="D11" s="68" t="s">
        <v>13</v>
      </c>
      <c r="E11" s="46"/>
      <c r="F11" s="69">
        <f t="shared" si="0"/>
        <v>19</v>
      </c>
      <c r="G11" s="69">
        <f t="shared" si="1"/>
        <v>9</v>
      </c>
      <c r="H11" s="69"/>
      <c r="I11" s="70" t="s">
        <v>40</v>
      </c>
      <c r="J11" s="64" t="s">
        <v>36</v>
      </c>
      <c r="K11" s="71"/>
      <c r="L11" s="72"/>
    </row>
    <row r="12" s="43" customFormat="1" customHeight="1" spans="1:12">
      <c r="A12" s="67" t="s">
        <v>41</v>
      </c>
      <c r="B12" s="43" t="s">
        <v>22</v>
      </c>
      <c r="C12" s="46">
        <v>1</v>
      </c>
      <c r="D12" s="68" t="s">
        <v>13</v>
      </c>
      <c r="E12" s="46"/>
      <c r="F12" s="69">
        <f t="shared" si="0"/>
        <v>21</v>
      </c>
      <c r="G12" s="69">
        <f t="shared" si="1"/>
        <v>10</v>
      </c>
      <c r="H12" s="73" t="s">
        <v>14</v>
      </c>
      <c r="I12" s="70" t="s">
        <v>42</v>
      </c>
      <c r="J12" s="64" t="s">
        <v>36</v>
      </c>
      <c r="K12" s="71"/>
      <c r="L12" s="72"/>
    </row>
    <row r="13" s="43" customFormat="1" customHeight="1" spans="1:12">
      <c r="A13" s="67" t="s">
        <v>43</v>
      </c>
      <c r="B13" s="43" t="s">
        <v>25</v>
      </c>
      <c r="C13" s="46">
        <v>3</v>
      </c>
      <c r="D13" s="68" t="s">
        <v>26</v>
      </c>
      <c r="E13" s="46"/>
      <c r="F13" s="69">
        <f t="shared" si="0"/>
        <v>22</v>
      </c>
      <c r="G13" s="69">
        <f t="shared" si="1"/>
        <v>11</v>
      </c>
      <c r="H13" s="73" t="s">
        <v>27</v>
      </c>
      <c r="I13" s="70" t="s">
        <v>44</v>
      </c>
      <c r="J13" s="64" t="s">
        <v>36</v>
      </c>
      <c r="K13" s="71"/>
      <c r="L13" s="72"/>
    </row>
    <row r="14" s="43" customFormat="1" customHeight="1" spans="1:12">
      <c r="A14" s="74" t="s">
        <v>45</v>
      </c>
      <c r="B14" s="75" t="s">
        <v>46</v>
      </c>
      <c r="C14" s="76">
        <v>1</v>
      </c>
      <c r="D14" s="77" t="s">
        <v>13</v>
      </c>
      <c r="E14" s="76"/>
      <c r="F14" s="78">
        <f t="shared" si="0"/>
        <v>25</v>
      </c>
      <c r="G14" s="78">
        <f t="shared" si="1"/>
        <v>12</v>
      </c>
      <c r="H14" s="79" t="s">
        <v>14</v>
      </c>
      <c r="I14" s="80" t="s">
        <v>47</v>
      </c>
      <c r="J14" s="81" t="s">
        <v>36</v>
      </c>
      <c r="K14" s="82"/>
      <c r="L14" s="83"/>
    </row>
    <row r="15" customHeight="1" spans="1:12">
      <c r="A15" s="84" t="s">
        <v>48</v>
      </c>
      <c r="B15" s="17" t="s">
        <v>49</v>
      </c>
      <c r="C15" s="85">
        <v>1</v>
      </c>
      <c r="D15" s="86" t="s">
        <v>13</v>
      </c>
      <c r="E15" s="85"/>
      <c r="F15" s="69">
        <f t="shared" si="0"/>
        <v>26</v>
      </c>
      <c r="G15" s="69">
        <f t="shared" si="1"/>
        <v>13</v>
      </c>
      <c r="H15" s="73" t="s">
        <v>14</v>
      </c>
      <c r="I15" s="87" t="s">
        <v>50</v>
      </c>
      <c r="J15" s="64"/>
      <c r="K15" s="65"/>
      <c r="L15" s="66" t="s">
        <v>51</v>
      </c>
    </row>
    <row r="16" customHeight="1" spans="1:12">
      <c r="A16" s="7" t="s">
        <v>52</v>
      </c>
      <c r="B16" s="17" t="s">
        <v>49</v>
      </c>
      <c r="C16" s="85">
        <v>1</v>
      </c>
      <c r="D16" s="86" t="s">
        <v>13</v>
      </c>
      <c r="E16" s="85"/>
      <c r="F16" s="69">
        <f t="shared" si="0"/>
        <v>27</v>
      </c>
      <c r="G16" s="69">
        <f t="shared" si="1"/>
        <v>14</v>
      </c>
      <c r="H16" s="73" t="s">
        <v>14</v>
      </c>
      <c r="I16" s="87" t="s">
        <v>53</v>
      </c>
      <c r="J16" s="64"/>
      <c r="K16" s="65"/>
      <c r="L16" s="72"/>
    </row>
    <row r="17" customHeight="1" spans="1:12">
      <c r="A17" s="7" t="s">
        <v>54</v>
      </c>
      <c r="B17" s="17" t="s">
        <v>49</v>
      </c>
      <c r="C17" s="85">
        <v>1</v>
      </c>
      <c r="D17" s="86" t="s">
        <v>13</v>
      </c>
      <c r="E17" s="85"/>
      <c r="F17" s="69">
        <f t="shared" si="0"/>
        <v>28</v>
      </c>
      <c r="G17" s="69">
        <f t="shared" si="1"/>
        <v>15</v>
      </c>
      <c r="H17" s="73" t="s">
        <v>14</v>
      </c>
      <c r="I17" s="87" t="s">
        <v>55</v>
      </c>
      <c r="J17" s="64"/>
      <c r="K17" s="65"/>
      <c r="L17" s="72"/>
    </row>
    <row r="18" customHeight="1" spans="1:12">
      <c r="A18" s="84" t="s">
        <v>56</v>
      </c>
      <c r="B18" s="17" t="s">
        <v>30</v>
      </c>
      <c r="C18" s="85">
        <v>1</v>
      </c>
      <c r="D18" s="86" t="s">
        <v>13</v>
      </c>
      <c r="E18" s="85"/>
      <c r="F18" s="69">
        <f t="shared" si="0"/>
        <v>29</v>
      </c>
      <c r="G18" s="69">
        <f t="shared" si="1"/>
        <v>16</v>
      </c>
      <c r="H18" s="73" t="s">
        <v>14</v>
      </c>
      <c r="I18" s="87" t="s">
        <v>57</v>
      </c>
      <c r="J18" s="64"/>
      <c r="K18" s="65"/>
      <c r="L18" s="72"/>
    </row>
    <row r="19" customHeight="1" spans="1:12">
      <c r="A19" s="84" t="s">
        <v>58</v>
      </c>
      <c r="B19" s="17" t="s">
        <v>30</v>
      </c>
      <c r="C19" s="85">
        <v>1</v>
      </c>
      <c r="D19" s="86" t="s">
        <v>13</v>
      </c>
      <c r="E19" s="85"/>
      <c r="F19" s="69">
        <f t="shared" si="0"/>
        <v>30</v>
      </c>
      <c r="G19" s="69">
        <f t="shared" si="1"/>
        <v>17</v>
      </c>
      <c r="H19" s="73" t="s">
        <v>14</v>
      </c>
      <c r="I19" s="87" t="s">
        <v>59</v>
      </c>
      <c r="J19" s="64"/>
      <c r="K19" s="65"/>
      <c r="L19" s="72"/>
    </row>
    <row r="20" customHeight="1" spans="1:12">
      <c r="A20" s="84" t="s">
        <v>60</v>
      </c>
      <c r="B20" s="17" t="s">
        <v>30</v>
      </c>
      <c r="C20" s="85">
        <v>1</v>
      </c>
      <c r="D20" s="86" t="s">
        <v>13</v>
      </c>
      <c r="E20" s="85"/>
      <c r="F20" s="69">
        <f t="shared" si="0"/>
        <v>31</v>
      </c>
      <c r="G20" s="69">
        <f t="shared" si="1"/>
        <v>18</v>
      </c>
      <c r="H20" s="73" t="s">
        <v>14</v>
      </c>
      <c r="I20" s="87" t="s">
        <v>61</v>
      </c>
      <c r="J20" s="64"/>
      <c r="K20" s="65"/>
      <c r="L20" s="72"/>
    </row>
    <row r="21" ht="13.5" customHeight="1" spans="1:12">
      <c r="A21" s="88" t="s">
        <v>62</v>
      </c>
      <c r="B21" s="43" t="s">
        <v>63</v>
      </c>
      <c r="C21" s="50">
        <v>2</v>
      </c>
      <c r="D21" s="89" t="s">
        <v>26</v>
      </c>
      <c r="E21" s="44"/>
      <c r="F21" s="69">
        <f t="shared" si="0"/>
        <v>32</v>
      </c>
      <c r="G21" s="69">
        <f t="shared" si="1"/>
        <v>19</v>
      </c>
      <c r="H21" s="73" t="s">
        <v>27</v>
      </c>
      <c r="I21" s="90" t="s">
        <v>64</v>
      </c>
      <c r="J21" s="64" t="s">
        <v>36</v>
      </c>
      <c r="K21" s="65"/>
      <c r="L21" s="72"/>
    </row>
    <row r="22" customHeight="1" spans="1:12">
      <c r="A22" s="84" t="s">
        <v>65</v>
      </c>
      <c r="B22" s="17" t="s">
        <v>66</v>
      </c>
      <c r="C22" s="85">
        <v>1</v>
      </c>
      <c r="D22" s="86" t="s">
        <v>13</v>
      </c>
      <c r="E22" s="85"/>
      <c r="F22" s="69">
        <f t="shared" si="0"/>
        <v>34</v>
      </c>
      <c r="G22" s="69">
        <f t="shared" si="1"/>
        <v>20</v>
      </c>
      <c r="H22" s="73" t="s">
        <v>14</v>
      </c>
      <c r="I22" s="87" t="s">
        <v>67</v>
      </c>
      <c r="J22" s="64"/>
      <c r="K22" s="65"/>
      <c r="L22" s="72"/>
    </row>
    <row r="23" customHeight="1" spans="1:12">
      <c r="A23" s="84" t="s">
        <v>68</v>
      </c>
      <c r="B23" s="17" t="s">
        <v>69</v>
      </c>
      <c r="C23" s="85">
        <v>1</v>
      </c>
      <c r="D23" s="86" t="s">
        <v>13</v>
      </c>
      <c r="E23" s="85"/>
      <c r="F23" s="69">
        <f t="shared" si="0"/>
        <v>35</v>
      </c>
      <c r="G23" s="69">
        <f t="shared" si="1"/>
        <v>21</v>
      </c>
      <c r="H23" s="73" t="s">
        <v>14</v>
      </c>
      <c r="I23" s="87" t="s">
        <v>70</v>
      </c>
      <c r="J23" s="64"/>
      <c r="K23" s="65"/>
      <c r="L23" s="72"/>
    </row>
    <row r="24" customHeight="1" spans="1:12">
      <c r="A24" s="91" t="s">
        <v>71</v>
      </c>
      <c r="B24" s="45" t="s">
        <v>72</v>
      </c>
      <c r="C24" s="92">
        <v>2</v>
      </c>
      <c r="D24" s="93" t="s">
        <v>13</v>
      </c>
      <c r="E24" s="92"/>
      <c r="F24" s="78">
        <f t="shared" si="0"/>
        <v>36</v>
      </c>
      <c r="G24" s="78">
        <f t="shared" si="1"/>
        <v>22</v>
      </c>
      <c r="H24" s="94" t="s">
        <v>14</v>
      </c>
      <c r="I24" s="95" t="s">
        <v>73</v>
      </c>
      <c r="J24" s="81"/>
      <c r="K24" s="96"/>
      <c r="L24" s="83"/>
    </row>
    <row r="25" customHeight="1" spans="1:12">
      <c r="A25" s="84" t="s">
        <v>74</v>
      </c>
      <c r="B25" s="17" t="s">
        <v>75</v>
      </c>
      <c r="C25" s="85">
        <v>1</v>
      </c>
      <c r="D25" s="86" t="s">
        <v>13</v>
      </c>
      <c r="E25" s="85"/>
      <c r="F25" s="69">
        <f t="shared" si="0"/>
        <v>38</v>
      </c>
      <c r="G25" s="69">
        <f t="shared" si="1"/>
        <v>23</v>
      </c>
      <c r="H25" s="73" t="s">
        <v>14</v>
      </c>
      <c r="I25" s="87" t="s">
        <v>76</v>
      </c>
      <c r="J25" s="64" t="s">
        <v>36</v>
      </c>
      <c r="K25" s="65"/>
      <c r="L25" s="66" t="s">
        <v>77</v>
      </c>
    </row>
    <row r="26" customHeight="1" spans="1:12">
      <c r="A26" s="84" t="s">
        <v>78</v>
      </c>
      <c r="B26" s="17" t="s">
        <v>79</v>
      </c>
      <c r="C26" s="85">
        <v>1</v>
      </c>
      <c r="D26" s="86" t="s">
        <v>13</v>
      </c>
      <c r="E26" s="85"/>
      <c r="F26" s="69">
        <f t="shared" si="0"/>
        <v>39</v>
      </c>
      <c r="G26" s="69">
        <f t="shared" si="1"/>
        <v>24</v>
      </c>
      <c r="H26" s="73" t="s">
        <v>14</v>
      </c>
      <c r="I26" s="87" t="s">
        <v>80</v>
      </c>
      <c r="J26" s="64" t="s">
        <v>36</v>
      </c>
      <c r="K26" s="65"/>
      <c r="L26" s="72"/>
    </row>
    <row r="27" customHeight="1" spans="1:12">
      <c r="A27" s="67" t="s">
        <v>81</v>
      </c>
      <c r="B27" s="43" t="s">
        <v>82</v>
      </c>
      <c r="C27" s="46">
        <v>3</v>
      </c>
      <c r="D27" s="68" t="s">
        <v>13</v>
      </c>
      <c r="E27" s="46"/>
      <c r="F27" s="69">
        <f t="shared" si="0"/>
        <v>40</v>
      </c>
      <c r="G27" s="69">
        <f t="shared" si="1"/>
        <v>25</v>
      </c>
      <c r="H27" s="73" t="s">
        <v>83</v>
      </c>
      <c r="I27" s="70" t="s">
        <v>84</v>
      </c>
      <c r="J27" s="64" t="s">
        <v>36</v>
      </c>
      <c r="K27" s="97" t="s">
        <v>85</v>
      </c>
      <c r="L27" s="72"/>
    </row>
    <row r="28" s="43" customFormat="1" customHeight="1" spans="1:12">
      <c r="A28" s="67" t="s">
        <v>86</v>
      </c>
      <c r="B28" s="43" t="s">
        <v>87</v>
      </c>
      <c r="C28" s="46">
        <v>3</v>
      </c>
      <c r="D28" s="68" t="s">
        <v>13</v>
      </c>
      <c r="E28" s="46"/>
      <c r="F28" s="69">
        <f t="shared" si="0"/>
        <v>43</v>
      </c>
      <c r="G28" s="69">
        <f t="shared" si="1"/>
        <v>26</v>
      </c>
      <c r="H28" s="73" t="s">
        <v>88</v>
      </c>
      <c r="I28" s="70" t="s">
        <v>89</v>
      </c>
      <c r="J28" s="64" t="s">
        <v>36</v>
      </c>
      <c r="K28" s="97" t="s">
        <v>90</v>
      </c>
      <c r="L28" s="72"/>
    </row>
    <row r="29" s="43" customFormat="1" customHeight="1" spans="1:12">
      <c r="A29" s="67" t="s">
        <v>91</v>
      </c>
      <c r="B29" s="43" t="s">
        <v>92</v>
      </c>
      <c r="C29" s="46">
        <v>1</v>
      </c>
      <c r="D29" s="68" t="s">
        <v>13</v>
      </c>
      <c r="E29" s="46"/>
      <c r="F29" s="69">
        <f t="shared" si="0"/>
        <v>46</v>
      </c>
      <c r="G29" s="69">
        <f t="shared" si="1"/>
        <v>27</v>
      </c>
      <c r="H29" s="73" t="s">
        <v>14</v>
      </c>
      <c r="I29" s="70" t="s">
        <v>93</v>
      </c>
      <c r="J29" s="64" t="s">
        <v>36</v>
      </c>
      <c r="K29" s="71"/>
      <c r="L29" s="72"/>
    </row>
    <row r="30" customHeight="1" spans="1:12">
      <c r="A30" s="84" t="s">
        <v>94</v>
      </c>
      <c r="B30" s="17" t="s">
        <v>95</v>
      </c>
      <c r="C30" s="85">
        <v>1</v>
      </c>
      <c r="D30" s="86" t="s">
        <v>13</v>
      </c>
      <c r="E30" s="85"/>
      <c r="F30" s="69">
        <f t="shared" si="0"/>
        <v>47</v>
      </c>
      <c r="G30" s="69">
        <f t="shared" si="1"/>
        <v>28</v>
      </c>
      <c r="H30" s="73" t="s">
        <v>14</v>
      </c>
      <c r="I30" s="87" t="s">
        <v>96</v>
      </c>
      <c r="J30" s="64" t="s">
        <v>36</v>
      </c>
      <c r="K30" s="65"/>
      <c r="L30" s="72"/>
    </row>
    <row r="31" customHeight="1" spans="1:12">
      <c r="A31" s="84" t="s">
        <v>97</v>
      </c>
      <c r="B31" s="17" t="s">
        <v>79</v>
      </c>
      <c r="C31" s="85">
        <v>1</v>
      </c>
      <c r="D31" s="86" t="s">
        <v>13</v>
      </c>
      <c r="E31" s="85"/>
      <c r="F31" s="69">
        <f t="shared" si="0"/>
        <v>48</v>
      </c>
      <c r="G31" s="69">
        <f t="shared" si="1"/>
        <v>29</v>
      </c>
      <c r="H31" s="73" t="s">
        <v>14</v>
      </c>
      <c r="I31" s="87" t="s">
        <v>80</v>
      </c>
      <c r="J31" s="64" t="s">
        <v>36</v>
      </c>
      <c r="K31" s="65"/>
      <c r="L31" s="72"/>
    </row>
    <row r="32" customHeight="1" spans="1:12">
      <c r="A32" s="84" t="s">
        <v>98</v>
      </c>
      <c r="B32" s="17" t="s">
        <v>99</v>
      </c>
      <c r="C32" s="85">
        <v>2</v>
      </c>
      <c r="D32" s="86" t="s">
        <v>13</v>
      </c>
      <c r="E32" s="85"/>
      <c r="F32" s="69">
        <f t="shared" si="0"/>
        <v>49</v>
      </c>
      <c r="G32" s="69">
        <f t="shared" si="1"/>
        <v>30</v>
      </c>
      <c r="H32" s="73" t="s">
        <v>14</v>
      </c>
      <c r="I32" s="87" t="s">
        <v>100</v>
      </c>
      <c r="J32" s="64" t="s">
        <v>36</v>
      </c>
      <c r="K32" s="65"/>
      <c r="L32" s="72"/>
    </row>
    <row r="33" customHeight="1" spans="1:12">
      <c r="A33" s="84" t="s">
        <v>101</v>
      </c>
      <c r="B33" s="17" t="s">
        <v>102</v>
      </c>
      <c r="C33" s="85">
        <v>1</v>
      </c>
      <c r="D33" s="86" t="s">
        <v>13</v>
      </c>
      <c r="E33" s="85"/>
      <c r="F33" s="69">
        <f t="shared" si="0"/>
        <v>51</v>
      </c>
      <c r="G33" s="69">
        <f t="shared" si="1"/>
        <v>31</v>
      </c>
      <c r="H33" s="73" t="s">
        <v>14</v>
      </c>
      <c r="I33" s="87" t="s">
        <v>103</v>
      </c>
      <c r="J33" s="64" t="s">
        <v>36</v>
      </c>
      <c r="K33" s="65"/>
      <c r="L33" s="72"/>
    </row>
    <row r="34" customHeight="1" spans="1:12">
      <c r="A34" s="84" t="s">
        <v>104</v>
      </c>
      <c r="B34" s="17" t="s">
        <v>105</v>
      </c>
      <c r="C34" s="85">
        <v>1</v>
      </c>
      <c r="D34" s="86" t="s">
        <v>13</v>
      </c>
      <c r="E34" s="85"/>
      <c r="F34" s="69">
        <f t="shared" si="0"/>
        <v>52</v>
      </c>
      <c r="G34" s="69">
        <f t="shared" si="1"/>
        <v>32</v>
      </c>
      <c r="H34" s="73" t="s">
        <v>14</v>
      </c>
      <c r="I34" s="87" t="s">
        <v>106</v>
      </c>
      <c r="J34" s="64" t="s">
        <v>36</v>
      </c>
      <c r="K34" s="65"/>
      <c r="L34" s="72"/>
    </row>
    <row r="35" customHeight="1" spans="1:12">
      <c r="A35" s="84" t="s">
        <v>107</v>
      </c>
      <c r="B35" s="17" t="s">
        <v>108</v>
      </c>
      <c r="C35" s="85">
        <v>1</v>
      </c>
      <c r="D35" s="86" t="s">
        <v>13</v>
      </c>
      <c r="E35" s="85"/>
      <c r="F35" s="69">
        <f t="shared" si="0"/>
        <v>53</v>
      </c>
      <c r="G35" s="69">
        <f t="shared" si="1"/>
        <v>33</v>
      </c>
      <c r="H35" s="73" t="s">
        <v>14</v>
      </c>
      <c r="I35" s="87" t="s">
        <v>109</v>
      </c>
      <c r="J35" s="64" t="s">
        <v>36</v>
      </c>
      <c r="K35" s="65"/>
      <c r="L35" s="72"/>
    </row>
    <row r="36" customHeight="1" spans="1:12">
      <c r="A36" s="84" t="s">
        <v>110</v>
      </c>
      <c r="B36" s="17" t="s">
        <v>111</v>
      </c>
      <c r="C36" s="85">
        <v>1</v>
      </c>
      <c r="D36" s="86" t="s">
        <v>13</v>
      </c>
      <c r="E36" s="85"/>
      <c r="F36" s="69">
        <f t="shared" si="0"/>
        <v>54</v>
      </c>
      <c r="G36" s="69">
        <f t="shared" si="1"/>
        <v>34</v>
      </c>
      <c r="H36" s="73" t="s">
        <v>14</v>
      </c>
      <c r="I36" s="87" t="s">
        <v>112</v>
      </c>
      <c r="J36" s="64" t="s">
        <v>36</v>
      </c>
      <c r="K36" s="65"/>
      <c r="L36" s="72"/>
    </row>
    <row r="37" customHeight="1" spans="1:12">
      <c r="A37" s="84" t="s">
        <v>113</v>
      </c>
      <c r="B37" s="17" t="s">
        <v>114</v>
      </c>
      <c r="C37" s="85">
        <v>2</v>
      </c>
      <c r="D37" s="86" t="s">
        <v>13</v>
      </c>
      <c r="E37" s="85"/>
      <c r="F37" s="69">
        <f t="shared" si="0"/>
        <v>55</v>
      </c>
      <c r="G37" s="69">
        <f t="shared" si="1"/>
        <v>35</v>
      </c>
      <c r="H37" s="73" t="s">
        <v>14</v>
      </c>
      <c r="I37" s="87" t="s">
        <v>115</v>
      </c>
      <c r="J37" s="64" t="s">
        <v>36</v>
      </c>
      <c r="K37" s="65"/>
      <c r="L37" s="72"/>
    </row>
    <row r="38" customHeight="1" spans="1:12">
      <c r="A38" s="84" t="s">
        <v>116</v>
      </c>
      <c r="B38" s="17" t="s">
        <v>82</v>
      </c>
      <c r="C38" s="85">
        <v>3</v>
      </c>
      <c r="D38" s="86" t="s">
        <v>13</v>
      </c>
      <c r="E38" s="85"/>
      <c r="F38" s="69">
        <f t="shared" si="0"/>
        <v>57</v>
      </c>
      <c r="G38" s="69">
        <f t="shared" si="1"/>
        <v>36</v>
      </c>
      <c r="H38" s="73" t="s">
        <v>83</v>
      </c>
      <c r="I38" s="98" t="s">
        <v>117</v>
      </c>
      <c r="J38" s="64" t="s">
        <v>36</v>
      </c>
      <c r="K38" s="97" t="s">
        <v>85</v>
      </c>
      <c r="L38" s="72"/>
    </row>
    <row r="39" customHeight="1" spans="1:12">
      <c r="A39" s="84" t="s">
        <v>118</v>
      </c>
      <c r="B39" s="17" t="s">
        <v>82</v>
      </c>
      <c r="C39" s="85">
        <v>3</v>
      </c>
      <c r="D39" s="86" t="s">
        <v>13</v>
      </c>
      <c r="E39" s="85"/>
      <c r="F39" s="69">
        <f t="shared" si="0"/>
        <v>60</v>
      </c>
      <c r="G39" s="69">
        <f t="shared" si="1"/>
        <v>37</v>
      </c>
      <c r="H39" s="73" t="s">
        <v>83</v>
      </c>
      <c r="I39" s="98" t="s">
        <v>119</v>
      </c>
      <c r="J39" s="64" t="s">
        <v>36</v>
      </c>
      <c r="K39" s="97" t="s">
        <v>85</v>
      </c>
      <c r="L39" s="72"/>
    </row>
    <row r="40" customHeight="1" spans="1:12">
      <c r="A40" s="84" t="s">
        <v>120</v>
      </c>
      <c r="B40" s="43" t="s">
        <v>87</v>
      </c>
      <c r="C40" s="85">
        <v>3</v>
      </c>
      <c r="D40" s="86" t="s">
        <v>13</v>
      </c>
      <c r="E40" s="85"/>
      <c r="F40" s="69">
        <f t="shared" si="0"/>
        <v>63</v>
      </c>
      <c r="G40" s="69">
        <f t="shared" si="1"/>
        <v>38</v>
      </c>
      <c r="H40" s="73" t="s">
        <v>88</v>
      </c>
      <c r="I40" s="98" t="s">
        <v>121</v>
      </c>
      <c r="J40" s="64" t="s">
        <v>36</v>
      </c>
      <c r="K40" s="97" t="s">
        <v>90</v>
      </c>
      <c r="L40" s="72"/>
    </row>
    <row r="41" customHeight="1" spans="1:12">
      <c r="A41" s="84" t="s">
        <v>122</v>
      </c>
      <c r="B41" s="43" t="s">
        <v>87</v>
      </c>
      <c r="C41" s="85">
        <v>3</v>
      </c>
      <c r="D41" s="86" t="s">
        <v>13</v>
      </c>
      <c r="E41" s="85"/>
      <c r="F41" s="69">
        <f t="shared" si="0"/>
        <v>66</v>
      </c>
      <c r="G41" s="69">
        <f t="shared" si="1"/>
        <v>39</v>
      </c>
      <c r="H41" s="73" t="s">
        <v>88</v>
      </c>
      <c r="I41" s="98" t="s">
        <v>123</v>
      </c>
      <c r="J41" s="64" t="s">
        <v>36</v>
      </c>
      <c r="K41" s="97" t="s">
        <v>90</v>
      </c>
      <c r="L41" s="72"/>
    </row>
    <row r="42" customHeight="1" spans="1:12">
      <c r="A42" s="99" t="s">
        <v>124</v>
      </c>
      <c r="B42" s="45" t="s">
        <v>125</v>
      </c>
      <c r="C42" s="92">
        <v>1</v>
      </c>
      <c r="D42" s="93" t="s">
        <v>13</v>
      </c>
      <c r="E42" s="92"/>
      <c r="F42" s="78">
        <f t="shared" si="0"/>
        <v>69</v>
      </c>
      <c r="G42" s="78">
        <f t="shared" si="1"/>
        <v>40</v>
      </c>
      <c r="H42" s="79" t="s">
        <v>14</v>
      </c>
      <c r="I42" s="100" t="s">
        <v>126</v>
      </c>
      <c r="J42" s="81" t="s">
        <v>36</v>
      </c>
      <c r="K42" s="96"/>
      <c r="L42" s="83"/>
    </row>
    <row r="43" customHeight="1" spans="1:12">
      <c r="A43" s="84" t="s">
        <v>127</v>
      </c>
      <c r="B43" s="17" t="s">
        <v>128</v>
      </c>
      <c r="C43" s="85">
        <v>1</v>
      </c>
      <c r="D43" s="86" t="s">
        <v>13</v>
      </c>
      <c r="E43" s="85"/>
      <c r="F43" s="69">
        <f t="shared" si="0"/>
        <v>70</v>
      </c>
      <c r="G43" s="69">
        <f t="shared" si="1"/>
        <v>41</v>
      </c>
      <c r="H43" s="73" t="s">
        <v>14</v>
      </c>
      <c r="I43" s="87" t="s">
        <v>129</v>
      </c>
      <c r="J43" s="64"/>
      <c r="K43" s="65"/>
      <c r="L43" s="66" t="s">
        <v>130</v>
      </c>
    </row>
    <row r="44" customHeight="1" spans="1:12">
      <c r="A44" s="84" t="s">
        <v>131</v>
      </c>
      <c r="B44" s="17" t="s">
        <v>79</v>
      </c>
      <c r="C44" s="85">
        <v>1</v>
      </c>
      <c r="D44" s="86" t="s">
        <v>13</v>
      </c>
      <c r="E44" s="85"/>
      <c r="F44" s="69">
        <f t="shared" si="0"/>
        <v>71</v>
      </c>
      <c r="G44" s="69">
        <f t="shared" si="1"/>
        <v>42</v>
      </c>
      <c r="H44" s="73" t="s">
        <v>14</v>
      </c>
      <c r="I44" s="87" t="s">
        <v>132</v>
      </c>
      <c r="J44" s="64"/>
      <c r="K44" s="65"/>
      <c r="L44" s="72"/>
    </row>
    <row r="45" customHeight="1" spans="1:12">
      <c r="A45" s="84" t="s">
        <v>133</v>
      </c>
      <c r="B45" s="17" t="s">
        <v>134</v>
      </c>
      <c r="C45" s="85">
        <v>1</v>
      </c>
      <c r="D45" s="86" t="s">
        <v>13</v>
      </c>
      <c r="E45" s="85"/>
      <c r="F45" s="69">
        <f t="shared" si="0"/>
        <v>72</v>
      </c>
      <c r="G45" s="69">
        <f t="shared" si="1"/>
        <v>43</v>
      </c>
      <c r="H45" s="73" t="s">
        <v>14</v>
      </c>
      <c r="I45" s="98" t="s">
        <v>135</v>
      </c>
      <c r="J45" s="64"/>
      <c r="K45" s="65"/>
      <c r="L45" s="72"/>
    </row>
    <row r="46" customHeight="1" spans="1:12">
      <c r="A46" s="84" t="s">
        <v>136</v>
      </c>
      <c r="B46" s="17" t="s">
        <v>137</v>
      </c>
      <c r="C46" s="85">
        <v>1</v>
      </c>
      <c r="D46" s="86" t="s">
        <v>13</v>
      </c>
      <c r="E46" s="85"/>
      <c r="F46" s="69">
        <f t="shared" si="0"/>
        <v>73</v>
      </c>
      <c r="G46" s="69">
        <f t="shared" si="1"/>
        <v>44</v>
      </c>
      <c r="H46" s="73" t="s">
        <v>14</v>
      </c>
      <c r="I46" s="87" t="s">
        <v>138</v>
      </c>
      <c r="J46" s="64" t="s">
        <v>36</v>
      </c>
      <c r="K46" s="65"/>
      <c r="L46" s="72"/>
    </row>
    <row r="47" customHeight="1" spans="1:12">
      <c r="A47" s="84" t="s">
        <v>139</v>
      </c>
      <c r="B47" s="17" t="s">
        <v>140</v>
      </c>
      <c r="C47" s="85">
        <v>1</v>
      </c>
      <c r="D47" s="86" t="s">
        <v>13</v>
      </c>
      <c r="E47" s="85"/>
      <c r="F47" s="69">
        <f t="shared" si="0"/>
        <v>74</v>
      </c>
      <c r="G47" s="69">
        <f t="shared" si="1"/>
        <v>45</v>
      </c>
      <c r="H47" s="73" t="s">
        <v>14</v>
      </c>
      <c r="I47" s="22" t="s">
        <v>141</v>
      </c>
      <c r="J47" s="64"/>
      <c r="K47" s="65"/>
      <c r="L47" s="72"/>
    </row>
    <row r="48" customHeight="1" spans="1:12">
      <c r="A48" s="101" t="s">
        <v>142</v>
      </c>
      <c r="B48" s="17" t="s">
        <v>79</v>
      </c>
      <c r="C48" s="85">
        <v>1</v>
      </c>
      <c r="D48" s="86" t="s">
        <v>13</v>
      </c>
      <c r="E48" s="85"/>
      <c r="F48" s="69">
        <f t="shared" si="0"/>
        <v>75</v>
      </c>
      <c r="G48" s="69">
        <f t="shared" si="1"/>
        <v>46</v>
      </c>
      <c r="H48" s="73" t="s">
        <v>14</v>
      </c>
      <c r="I48" s="87" t="s">
        <v>143</v>
      </c>
      <c r="J48" s="64"/>
      <c r="K48" s="65"/>
      <c r="L48" s="72"/>
    </row>
    <row r="49" customHeight="1" spans="1:12">
      <c r="A49" s="101" t="s">
        <v>144</v>
      </c>
      <c r="B49" s="17" t="s">
        <v>79</v>
      </c>
      <c r="C49" s="85">
        <v>1</v>
      </c>
      <c r="D49" s="86" t="s">
        <v>13</v>
      </c>
      <c r="E49" s="85"/>
      <c r="F49" s="69">
        <f t="shared" si="0"/>
        <v>76</v>
      </c>
      <c r="G49" s="69">
        <f t="shared" si="1"/>
        <v>47</v>
      </c>
      <c r="H49" s="73" t="s">
        <v>14</v>
      </c>
      <c r="I49" s="87" t="s">
        <v>145</v>
      </c>
      <c r="J49" s="64" t="s">
        <v>36</v>
      </c>
      <c r="K49" s="65"/>
      <c r="L49" s="72"/>
    </row>
    <row r="50" customHeight="1" spans="1:12">
      <c r="A50" s="101" t="s">
        <v>146</v>
      </c>
      <c r="B50" s="17" t="s">
        <v>79</v>
      </c>
      <c r="C50" s="85">
        <v>1</v>
      </c>
      <c r="D50" s="86" t="s">
        <v>13</v>
      </c>
      <c r="E50" s="85"/>
      <c r="F50" s="69">
        <f t="shared" si="0"/>
        <v>77</v>
      </c>
      <c r="G50" s="69">
        <f t="shared" si="1"/>
        <v>48</v>
      </c>
      <c r="H50" s="73" t="s">
        <v>14</v>
      </c>
      <c r="I50" s="87" t="s">
        <v>147</v>
      </c>
      <c r="J50" s="64" t="s">
        <v>36</v>
      </c>
      <c r="K50" s="65"/>
      <c r="L50" s="72"/>
    </row>
    <row r="51" customHeight="1" spans="1:12">
      <c r="A51" s="101" t="s">
        <v>148</v>
      </c>
      <c r="B51" s="17" t="s">
        <v>79</v>
      </c>
      <c r="C51" s="85">
        <v>1</v>
      </c>
      <c r="D51" s="86" t="s">
        <v>13</v>
      </c>
      <c r="E51" s="85"/>
      <c r="F51" s="69">
        <f t="shared" si="0"/>
        <v>78</v>
      </c>
      <c r="G51" s="69">
        <f t="shared" si="1"/>
        <v>49</v>
      </c>
      <c r="H51" s="73" t="s">
        <v>14</v>
      </c>
      <c r="I51" s="87" t="s">
        <v>149</v>
      </c>
      <c r="J51" s="64"/>
      <c r="K51" s="65"/>
      <c r="L51" s="72"/>
    </row>
    <row r="52" customHeight="1" spans="1:12">
      <c r="A52" s="101" t="s">
        <v>150</v>
      </c>
      <c r="B52" s="17" t="s">
        <v>79</v>
      </c>
      <c r="C52" s="85">
        <v>1</v>
      </c>
      <c r="D52" s="86" t="s">
        <v>13</v>
      </c>
      <c r="E52" s="85"/>
      <c r="F52" s="69">
        <f t="shared" si="0"/>
        <v>79</v>
      </c>
      <c r="G52" s="69">
        <f t="shared" si="1"/>
        <v>50</v>
      </c>
      <c r="H52" s="73" t="s">
        <v>14</v>
      </c>
      <c r="I52" s="87" t="s">
        <v>151</v>
      </c>
      <c r="J52" s="64" t="s">
        <v>36</v>
      </c>
      <c r="K52" s="65"/>
      <c r="L52" s="72"/>
    </row>
    <row r="53" customHeight="1" spans="1:12">
      <c r="A53" s="101" t="s">
        <v>152</v>
      </c>
      <c r="B53" s="17" t="s">
        <v>79</v>
      </c>
      <c r="C53" s="85">
        <v>1</v>
      </c>
      <c r="D53" s="86" t="s">
        <v>13</v>
      </c>
      <c r="E53" s="85"/>
      <c r="F53" s="69">
        <f t="shared" si="0"/>
        <v>80</v>
      </c>
      <c r="G53" s="69">
        <f t="shared" si="1"/>
        <v>51</v>
      </c>
      <c r="H53" s="73" t="s">
        <v>14</v>
      </c>
      <c r="I53" s="87" t="s">
        <v>153</v>
      </c>
      <c r="J53" s="64" t="s">
        <v>36</v>
      </c>
      <c r="K53" s="65"/>
      <c r="L53" s="72"/>
    </row>
    <row r="54" customHeight="1" spans="1:12">
      <c r="A54" s="101" t="s">
        <v>154</v>
      </c>
      <c r="B54" s="17" t="s">
        <v>79</v>
      </c>
      <c r="C54" s="85">
        <v>1</v>
      </c>
      <c r="D54" s="86" t="s">
        <v>13</v>
      </c>
      <c r="E54" s="85"/>
      <c r="F54" s="69">
        <f t="shared" si="0"/>
        <v>81</v>
      </c>
      <c r="G54" s="69">
        <f t="shared" si="1"/>
        <v>52</v>
      </c>
      <c r="H54" s="73" t="s">
        <v>14</v>
      </c>
      <c r="I54" s="22" t="s">
        <v>155</v>
      </c>
      <c r="J54" s="64" t="s">
        <v>36</v>
      </c>
      <c r="K54" s="65"/>
      <c r="L54" s="72"/>
    </row>
    <row r="55" customHeight="1" spans="1:12">
      <c r="A55" s="101" t="s">
        <v>156</v>
      </c>
      <c r="B55" s="17" t="s">
        <v>79</v>
      </c>
      <c r="C55" s="85">
        <v>1</v>
      </c>
      <c r="D55" s="86" t="s">
        <v>13</v>
      </c>
      <c r="E55" s="85"/>
      <c r="F55" s="69">
        <f t="shared" si="0"/>
        <v>82</v>
      </c>
      <c r="G55" s="69">
        <f t="shared" si="1"/>
        <v>53</v>
      </c>
      <c r="H55" s="73" t="s">
        <v>14</v>
      </c>
      <c r="I55" s="87" t="s">
        <v>157</v>
      </c>
      <c r="J55" s="64"/>
      <c r="K55" s="65"/>
      <c r="L55" s="72"/>
    </row>
    <row r="56" customHeight="1" spans="1:12">
      <c r="A56" s="101" t="s">
        <v>158</v>
      </c>
      <c r="B56" s="17" t="s">
        <v>79</v>
      </c>
      <c r="C56" s="85">
        <v>1</v>
      </c>
      <c r="D56" s="86" t="s">
        <v>13</v>
      </c>
      <c r="E56" s="85"/>
      <c r="F56" s="69">
        <f t="shared" si="0"/>
        <v>83</v>
      </c>
      <c r="G56" s="69">
        <f t="shared" si="1"/>
        <v>54</v>
      </c>
      <c r="H56" s="73" t="s">
        <v>14</v>
      </c>
      <c r="I56" s="98" t="s">
        <v>159</v>
      </c>
      <c r="J56" s="64" t="s">
        <v>36</v>
      </c>
      <c r="K56" s="65"/>
      <c r="L56" s="72"/>
    </row>
    <row r="57" customHeight="1" spans="1:12">
      <c r="A57" s="101" t="s">
        <v>160</v>
      </c>
      <c r="B57" s="17" t="s">
        <v>79</v>
      </c>
      <c r="C57" s="85">
        <v>1</v>
      </c>
      <c r="D57" s="86" t="s">
        <v>13</v>
      </c>
      <c r="E57" s="85"/>
      <c r="F57" s="69">
        <f t="shared" si="0"/>
        <v>84</v>
      </c>
      <c r="G57" s="69">
        <f t="shared" si="1"/>
        <v>55</v>
      </c>
      <c r="H57" s="73" t="s">
        <v>14</v>
      </c>
      <c r="I57" s="87" t="s">
        <v>161</v>
      </c>
      <c r="J57" s="64" t="s">
        <v>36</v>
      </c>
      <c r="K57" s="65"/>
      <c r="L57" s="72"/>
    </row>
    <row r="58" customHeight="1" spans="1:12">
      <c r="A58" s="101" t="s">
        <v>162</v>
      </c>
      <c r="B58" s="17" t="s">
        <v>79</v>
      </c>
      <c r="C58" s="85">
        <v>1</v>
      </c>
      <c r="D58" s="86" t="s">
        <v>13</v>
      </c>
      <c r="E58" s="85"/>
      <c r="F58" s="69">
        <f t="shared" si="0"/>
        <v>85</v>
      </c>
      <c r="G58" s="69">
        <f t="shared" si="1"/>
        <v>56</v>
      </c>
      <c r="H58" s="73" t="s">
        <v>14</v>
      </c>
      <c r="I58" s="87" t="s">
        <v>163</v>
      </c>
      <c r="J58" s="64"/>
      <c r="K58" s="65"/>
      <c r="L58" s="72"/>
    </row>
    <row r="59" customHeight="1" spans="1:12">
      <c r="A59" s="101" t="s">
        <v>164</v>
      </c>
      <c r="B59" s="17" t="s">
        <v>79</v>
      </c>
      <c r="C59" s="85">
        <v>1</v>
      </c>
      <c r="D59" s="86" t="s">
        <v>13</v>
      </c>
      <c r="E59" s="85"/>
      <c r="F59" s="69">
        <f t="shared" si="0"/>
        <v>86</v>
      </c>
      <c r="G59" s="69">
        <f t="shared" si="1"/>
        <v>57</v>
      </c>
      <c r="H59" s="73" t="s">
        <v>14</v>
      </c>
      <c r="I59" s="87" t="s">
        <v>165</v>
      </c>
      <c r="J59" s="64" t="s">
        <v>36</v>
      </c>
      <c r="K59" s="65"/>
      <c r="L59" s="72"/>
    </row>
    <row r="60" customHeight="1" spans="1:12">
      <c r="A60" s="101" t="s">
        <v>166</v>
      </c>
      <c r="B60" s="17" t="s">
        <v>79</v>
      </c>
      <c r="C60" s="85">
        <v>1</v>
      </c>
      <c r="D60" s="86" t="s">
        <v>13</v>
      </c>
      <c r="E60" s="85"/>
      <c r="F60" s="69">
        <f t="shared" si="0"/>
        <v>87</v>
      </c>
      <c r="G60" s="69">
        <f t="shared" si="1"/>
        <v>58</v>
      </c>
      <c r="H60" s="73" t="s">
        <v>14</v>
      </c>
      <c r="I60" s="87" t="s">
        <v>167</v>
      </c>
      <c r="J60" s="64" t="s">
        <v>36</v>
      </c>
      <c r="K60" s="65"/>
      <c r="L60" s="72"/>
    </row>
    <row r="61" customHeight="1" spans="1:12">
      <c r="A61" s="101" t="s">
        <v>168</v>
      </c>
      <c r="B61" s="17" t="s">
        <v>79</v>
      </c>
      <c r="C61" s="85">
        <v>1</v>
      </c>
      <c r="D61" s="86" t="s">
        <v>13</v>
      </c>
      <c r="E61" s="85"/>
      <c r="F61" s="69">
        <f t="shared" si="0"/>
        <v>88</v>
      </c>
      <c r="G61" s="69">
        <f t="shared" si="1"/>
        <v>59</v>
      </c>
      <c r="H61" s="73" t="s">
        <v>14</v>
      </c>
      <c r="I61" s="87" t="s">
        <v>169</v>
      </c>
      <c r="J61" s="64"/>
      <c r="K61" s="65"/>
      <c r="L61" s="72"/>
    </row>
    <row r="62" customHeight="1" spans="1:12">
      <c r="A62" s="101" t="s">
        <v>170</v>
      </c>
      <c r="B62" s="17" t="s">
        <v>79</v>
      </c>
      <c r="C62" s="85">
        <v>1</v>
      </c>
      <c r="D62" s="86" t="s">
        <v>13</v>
      </c>
      <c r="E62" s="85"/>
      <c r="F62" s="69">
        <f t="shared" si="0"/>
        <v>89</v>
      </c>
      <c r="G62" s="69">
        <f t="shared" si="1"/>
        <v>60</v>
      </c>
      <c r="H62" s="73" t="s">
        <v>14</v>
      </c>
      <c r="I62" s="87" t="s">
        <v>171</v>
      </c>
      <c r="J62" s="64" t="s">
        <v>36</v>
      </c>
      <c r="K62" s="65"/>
      <c r="L62" s="72"/>
    </row>
    <row r="63" customHeight="1" spans="1:12">
      <c r="A63" s="101" t="s">
        <v>172</v>
      </c>
      <c r="B63" s="17" t="s">
        <v>79</v>
      </c>
      <c r="C63" s="85">
        <v>1</v>
      </c>
      <c r="D63" s="86" t="s">
        <v>13</v>
      </c>
      <c r="E63" s="85"/>
      <c r="F63" s="69">
        <f t="shared" si="0"/>
        <v>90</v>
      </c>
      <c r="G63" s="69">
        <f t="shared" si="1"/>
        <v>61</v>
      </c>
      <c r="H63" s="73" t="s">
        <v>14</v>
      </c>
      <c r="I63" s="87" t="s">
        <v>173</v>
      </c>
      <c r="J63" s="64" t="s">
        <v>36</v>
      </c>
      <c r="K63" s="65"/>
      <c r="L63" s="72"/>
    </row>
    <row r="64" customHeight="1" spans="1:12">
      <c r="A64" s="101" t="s">
        <v>174</v>
      </c>
      <c r="B64" s="17" t="s">
        <v>79</v>
      </c>
      <c r="C64" s="85">
        <v>1</v>
      </c>
      <c r="D64" s="86" t="s">
        <v>13</v>
      </c>
      <c r="E64" s="85"/>
      <c r="F64" s="69">
        <f t="shared" si="0"/>
        <v>91</v>
      </c>
      <c r="G64" s="69">
        <f t="shared" si="1"/>
        <v>62</v>
      </c>
      <c r="H64" s="73" t="s">
        <v>14</v>
      </c>
      <c r="I64" s="87" t="s">
        <v>175</v>
      </c>
      <c r="J64" s="64"/>
      <c r="K64" s="65"/>
      <c r="L64" s="72"/>
    </row>
    <row r="65" customHeight="1" spans="1:12">
      <c r="A65" s="101" t="s">
        <v>176</v>
      </c>
      <c r="B65" s="17" t="s">
        <v>79</v>
      </c>
      <c r="C65" s="85">
        <v>1</v>
      </c>
      <c r="D65" s="86" t="s">
        <v>13</v>
      </c>
      <c r="E65" s="85"/>
      <c r="F65" s="69">
        <f t="shared" si="0"/>
        <v>92</v>
      </c>
      <c r="G65" s="69">
        <f t="shared" si="1"/>
        <v>63</v>
      </c>
      <c r="H65" s="73" t="s">
        <v>14</v>
      </c>
      <c r="I65" s="87" t="s">
        <v>177</v>
      </c>
      <c r="J65" s="64" t="s">
        <v>36</v>
      </c>
      <c r="K65" s="65"/>
      <c r="L65" s="72"/>
    </row>
    <row r="66" customHeight="1" spans="1:12">
      <c r="A66" s="101" t="s">
        <v>178</v>
      </c>
      <c r="B66" s="17" t="s">
        <v>79</v>
      </c>
      <c r="C66" s="85">
        <v>1</v>
      </c>
      <c r="D66" s="86" t="s">
        <v>13</v>
      </c>
      <c r="E66" s="85"/>
      <c r="F66" s="69">
        <f t="shared" si="0"/>
        <v>93</v>
      </c>
      <c r="G66" s="69">
        <f t="shared" si="1"/>
        <v>64</v>
      </c>
      <c r="H66" s="73" t="s">
        <v>14</v>
      </c>
      <c r="I66" s="87" t="s">
        <v>179</v>
      </c>
      <c r="J66" s="64" t="s">
        <v>36</v>
      </c>
      <c r="K66" s="65"/>
      <c r="L66" s="72"/>
    </row>
    <row r="67" customHeight="1" spans="1:12">
      <c r="A67" s="101" t="s">
        <v>180</v>
      </c>
      <c r="B67" s="17" t="s">
        <v>79</v>
      </c>
      <c r="C67" s="85">
        <v>1</v>
      </c>
      <c r="D67" s="86" t="s">
        <v>13</v>
      </c>
      <c r="E67" s="85"/>
      <c r="F67" s="69">
        <f t="shared" si="0"/>
        <v>94</v>
      </c>
      <c r="G67" s="69">
        <f t="shared" si="1"/>
        <v>65</v>
      </c>
      <c r="H67" s="73" t="s">
        <v>14</v>
      </c>
      <c r="I67" s="87" t="s">
        <v>181</v>
      </c>
      <c r="J67" s="64"/>
      <c r="K67" s="65"/>
      <c r="L67" s="72"/>
    </row>
    <row r="68" customHeight="1" spans="1:12">
      <c r="A68" s="101" t="s">
        <v>182</v>
      </c>
      <c r="B68" s="17" t="s">
        <v>79</v>
      </c>
      <c r="C68" s="85">
        <v>1</v>
      </c>
      <c r="D68" s="86" t="s">
        <v>13</v>
      </c>
      <c r="E68" s="85"/>
      <c r="F68" s="69">
        <f t="shared" ref="F68:F131" si="2">F67+C67</f>
        <v>95</v>
      </c>
      <c r="G68" s="69">
        <f t="shared" si="1"/>
        <v>66</v>
      </c>
      <c r="H68" s="73" t="s">
        <v>14</v>
      </c>
      <c r="I68" s="98" t="s">
        <v>183</v>
      </c>
      <c r="J68" s="64" t="s">
        <v>36</v>
      </c>
      <c r="K68" s="65"/>
      <c r="L68" s="72"/>
    </row>
    <row r="69" customHeight="1" spans="1:12">
      <c r="A69" s="101" t="s">
        <v>184</v>
      </c>
      <c r="B69" s="17" t="s">
        <v>79</v>
      </c>
      <c r="C69" s="85">
        <v>1</v>
      </c>
      <c r="D69" s="86" t="s">
        <v>13</v>
      </c>
      <c r="E69" s="85"/>
      <c r="F69" s="69">
        <f t="shared" si="2"/>
        <v>96</v>
      </c>
      <c r="G69" s="69">
        <f t="shared" si="1"/>
        <v>67</v>
      </c>
      <c r="H69" s="73" t="s">
        <v>14</v>
      </c>
      <c r="I69" s="87" t="s">
        <v>185</v>
      </c>
      <c r="J69" s="64" t="s">
        <v>36</v>
      </c>
      <c r="K69" s="65"/>
      <c r="L69" s="72"/>
    </row>
    <row r="70" customHeight="1" spans="1:12">
      <c r="A70" s="101" t="s">
        <v>186</v>
      </c>
      <c r="B70" s="17" t="s">
        <v>79</v>
      </c>
      <c r="C70" s="85">
        <v>1</v>
      </c>
      <c r="D70" s="86" t="s">
        <v>13</v>
      </c>
      <c r="E70" s="85"/>
      <c r="F70" s="69">
        <f t="shared" si="2"/>
        <v>97</v>
      </c>
      <c r="G70" s="69">
        <f t="shared" si="1"/>
        <v>68</v>
      </c>
      <c r="H70" s="73" t="s">
        <v>14</v>
      </c>
      <c r="I70" s="87" t="s">
        <v>187</v>
      </c>
      <c r="J70" s="64"/>
      <c r="K70" s="65"/>
      <c r="L70" s="72"/>
    </row>
    <row r="71" customHeight="1" spans="1:12">
      <c r="A71" s="101" t="s">
        <v>188</v>
      </c>
      <c r="B71" s="17" t="s">
        <v>79</v>
      </c>
      <c r="C71" s="85">
        <v>1</v>
      </c>
      <c r="D71" s="86" t="s">
        <v>13</v>
      </c>
      <c r="E71" s="85"/>
      <c r="F71" s="69">
        <f t="shared" si="2"/>
        <v>98</v>
      </c>
      <c r="G71" s="69">
        <f t="shared" ref="G71:G137" si="3">G70+1</f>
        <v>69</v>
      </c>
      <c r="H71" s="73" t="s">
        <v>14</v>
      </c>
      <c r="I71" s="98" t="s">
        <v>189</v>
      </c>
      <c r="J71" s="64" t="s">
        <v>36</v>
      </c>
      <c r="K71" s="65"/>
      <c r="L71" s="72"/>
    </row>
    <row r="72" customHeight="1" spans="1:12">
      <c r="A72" s="101" t="s">
        <v>190</v>
      </c>
      <c r="B72" s="17" t="s">
        <v>79</v>
      </c>
      <c r="C72" s="85">
        <v>1</v>
      </c>
      <c r="D72" s="86" t="s">
        <v>13</v>
      </c>
      <c r="E72" s="85"/>
      <c r="F72" s="69">
        <f t="shared" si="2"/>
        <v>99</v>
      </c>
      <c r="G72" s="69">
        <f t="shared" si="3"/>
        <v>70</v>
      </c>
      <c r="H72" s="73" t="s">
        <v>14</v>
      </c>
      <c r="I72" s="87" t="s">
        <v>191</v>
      </c>
      <c r="J72" s="64" t="s">
        <v>36</v>
      </c>
      <c r="K72" s="65"/>
      <c r="L72" s="72"/>
    </row>
    <row r="73" customHeight="1" spans="1:12">
      <c r="A73" s="101" t="s">
        <v>192</v>
      </c>
      <c r="B73" s="17" t="s">
        <v>79</v>
      </c>
      <c r="C73" s="85">
        <v>1</v>
      </c>
      <c r="D73" s="86" t="s">
        <v>13</v>
      </c>
      <c r="E73" s="85"/>
      <c r="F73" s="69">
        <f t="shared" si="2"/>
        <v>100</v>
      </c>
      <c r="G73" s="69">
        <f t="shared" si="3"/>
        <v>71</v>
      </c>
      <c r="H73" s="73" t="s">
        <v>14</v>
      </c>
      <c r="I73" s="98" t="s">
        <v>193</v>
      </c>
      <c r="J73" s="64"/>
      <c r="K73" s="65"/>
      <c r="L73" s="72"/>
    </row>
    <row r="74" customHeight="1" spans="1:12">
      <c r="A74" s="101" t="s">
        <v>194</v>
      </c>
      <c r="B74" s="17" t="s">
        <v>79</v>
      </c>
      <c r="C74" s="85">
        <v>1</v>
      </c>
      <c r="D74" s="86" t="s">
        <v>13</v>
      </c>
      <c r="E74" s="85"/>
      <c r="F74" s="69">
        <f t="shared" si="2"/>
        <v>101</v>
      </c>
      <c r="G74" s="69">
        <f t="shared" si="3"/>
        <v>72</v>
      </c>
      <c r="H74" s="73" t="s">
        <v>14</v>
      </c>
      <c r="I74" s="98" t="s">
        <v>195</v>
      </c>
      <c r="J74" s="64" t="s">
        <v>36</v>
      </c>
      <c r="K74" s="65"/>
      <c r="L74" s="72"/>
    </row>
    <row r="75" customHeight="1" spans="1:12">
      <c r="A75" s="101" t="s">
        <v>196</v>
      </c>
      <c r="B75" s="17" t="s">
        <v>79</v>
      </c>
      <c r="C75" s="85">
        <v>1</v>
      </c>
      <c r="D75" s="86" t="s">
        <v>13</v>
      </c>
      <c r="E75" s="85"/>
      <c r="F75" s="69">
        <f t="shared" si="2"/>
        <v>102</v>
      </c>
      <c r="G75" s="69">
        <f t="shared" si="3"/>
        <v>73</v>
      </c>
      <c r="H75" s="73" t="s">
        <v>14</v>
      </c>
      <c r="I75" s="98" t="s">
        <v>197</v>
      </c>
      <c r="J75" s="64" t="s">
        <v>36</v>
      </c>
      <c r="K75" s="65"/>
      <c r="L75" s="72"/>
    </row>
    <row r="76" customHeight="1" spans="1:12">
      <c r="A76" s="101" t="s">
        <v>198</v>
      </c>
      <c r="B76" s="17" t="s">
        <v>79</v>
      </c>
      <c r="C76" s="85">
        <v>1</v>
      </c>
      <c r="D76" s="86" t="s">
        <v>13</v>
      </c>
      <c r="E76" s="85"/>
      <c r="F76" s="69">
        <f t="shared" si="2"/>
        <v>103</v>
      </c>
      <c r="G76" s="69">
        <f t="shared" si="3"/>
        <v>74</v>
      </c>
      <c r="H76" s="73" t="s">
        <v>14</v>
      </c>
      <c r="I76" s="87" t="s">
        <v>199</v>
      </c>
      <c r="J76" s="64"/>
      <c r="K76" s="65"/>
      <c r="L76" s="72"/>
    </row>
    <row r="77" customHeight="1" spans="1:12">
      <c r="A77" s="101" t="s">
        <v>200</v>
      </c>
      <c r="B77" s="17" t="s">
        <v>79</v>
      </c>
      <c r="C77" s="85">
        <v>1</v>
      </c>
      <c r="D77" s="86" t="s">
        <v>13</v>
      </c>
      <c r="E77" s="85"/>
      <c r="F77" s="69">
        <f t="shared" si="2"/>
        <v>104</v>
      </c>
      <c r="G77" s="69">
        <f t="shared" si="3"/>
        <v>75</v>
      </c>
      <c r="H77" s="73" t="s">
        <v>14</v>
      </c>
      <c r="I77" s="87" t="s">
        <v>201</v>
      </c>
      <c r="J77" s="64" t="s">
        <v>36</v>
      </c>
      <c r="K77" s="65"/>
      <c r="L77" s="72"/>
    </row>
    <row r="78" customHeight="1" spans="1:12">
      <c r="A78" s="101" t="s">
        <v>202</v>
      </c>
      <c r="B78" s="17" t="s">
        <v>79</v>
      </c>
      <c r="C78" s="85">
        <v>1</v>
      </c>
      <c r="D78" s="86" t="s">
        <v>13</v>
      </c>
      <c r="E78" s="85"/>
      <c r="F78" s="69">
        <f t="shared" si="2"/>
        <v>105</v>
      </c>
      <c r="G78" s="69">
        <f t="shared" si="3"/>
        <v>76</v>
      </c>
      <c r="H78" s="73" t="s">
        <v>14</v>
      </c>
      <c r="I78" s="87" t="s">
        <v>203</v>
      </c>
      <c r="J78" s="64" t="s">
        <v>36</v>
      </c>
      <c r="K78" s="65"/>
      <c r="L78" s="72"/>
    </row>
    <row r="79" customHeight="1" spans="1:12">
      <c r="A79" s="101" t="s">
        <v>204</v>
      </c>
      <c r="B79" s="17" t="s">
        <v>79</v>
      </c>
      <c r="C79" s="85">
        <v>1</v>
      </c>
      <c r="D79" s="86" t="s">
        <v>13</v>
      </c>
      <c r="E79" s="85"/>
      <c r="F79" s="69">
        <f t="shared" si="2"/>
        <v>106</v>
      </c>
      <c r="G79" s="69">
        <f t="shared" si="3"/>
        <v>77</v>
      </c>
      <c r="H79" s="73" t="s">
        <v>14</v>
      </c>
      <c r="I79" s="98" t="s">
        <v>205</v>
      </c>
      <c r="J79" s="64"/>
      <c r="K79" s="65"/>
      <c r="L79" s="72"/>
    </row>
    <row r="80" customHeight="1" spans="1:12">
      <c r="A80" s="101" t="s">
        <v>206</v>
      </c>
      <c r="B80" s="17" t="s">
        <v>79</v>
      </c>
      <c r="C80" s="85">
        <v>1</v>
      </c>
      <c r="D80" s="86" t="s">
        <v>13</v>
      </c>
      <c r="E80" s="85"/>
      <c r="F80" s="69">
        <f t="shared" si="2"/>
        <v>107</v>
      </c>
      <c r="G80" s="69">
        <f t="shared" si="3"/>
        <v>78</v>
      </c>
      <c r="H80" s="73" t="s">
        <v>14</v>
      </c>
      <c r="I80" s="98" t="s">
        <v>207</v>
      </c>
      <c r="J80" s="64" t="s">
        <v>36</v>
      </c>
      <c r="K80" s="65"/>
      <c r="L80" s="72"/>
    </row>
    <row r="81" customHeight="1" spans="1:12">
      <c r="A81" s="101" t="s">
        <v>208</v>
      </c>
      <c r="B81" s="17" t="s">
        <v>79</v>
      </c>
      <c r="C81" s="85">
        <v>1</v>
      </c>
      <c r="D81" s="86" t="s">
        <v>13</v>
      </c>
      <c r="E81" s="85"/>
      <c r="F81" s="69">
        <f t="shared" si="2"/>
        <v>108</v>
      </c>
      <c r="G81" s="69">
        <f t="shared" si="3"/>
        <v>79</v>
      </c>
      <c r="H81" s="73" t="s">
        <v>14</v>
      </c>
      <c r="I81" s="98" t="s">
        <v>209</v>
      </c>
      <c r="J81" s="64" t="s">
        <v>36</v>
      </c>
      <c r="K81" s="65"/>
      <c r="L81" s="72"/>
    </row>
    <row r="82" customHeight="1" spans="1:12">
      <c r="A82" s="101" t="s">
        <v>210</v>
      </c>
      <c r="B82" s="17" t="s">
        <v>79</v>
      </c>
      <c r="C82" s="85">
        <v>1</v>
      </c>
      <c r="D82" s="86" t="s">
        <v>13</v>
      </c>
      <c r="E82" s="85"/>
      <c r="F82" s="69">
        <f t="shared" si="2"/>
        <v>109</v>
      </c>
      <c r="G82" s="69">
        <f t="shared" si="3"/>
        <v>80</v>
      </c>
      <c r="H82" s="73" t="s">
        <v>14</v>
      </c>
      <c r="I82" s="87" t="s">
        <v>211</v>
      </c>
      <c r="J82" s="64"/>
      <c r="K82" s="65"/>
      <c r="L82" s="72"/>
    </row>
    <row r="83" customHeight="1" spans="1:12">
      <c r="A83" s="101" t="s">
        <v>212</v>
      </c>
      <c r="B83" s="17" t="s">
        <v>79</v>
      </c>
      <c r="C83" s="85">
        <v>1</v>
      </c>
      <c r="D83" s="86" t="s">
        <v>13</v>
      </c>
      <c r="E83" s="85"/>
      <c r="F83" s="69">
        <f t="shared" si="2"/>
        <v>110</v>
      </c>
      <c r="G83" s="69">
        <f t="shared" si="3"/>
        <v>81</v>
      </c>
      <c r="H83" s="73" t="s">
        <v>14</v>
      </c>
      <c r="I83" s="87" t="s">
        <v>213</v>
      </c>
      <c r="J83" s="64" t="s">
        <v>36</v>
      </c>
      <c r="K83" s="65"/>
      <c r="L83" s="72"/>
    </row>
    <row r="84" customHeight="1" spans="1:12">
      <c r="A84" s="101" t="s">
        <v>214</v>
      </c>
      <c r="B84" s="17" t="s">
        <v>79</v>
      </c>
      <c r="C84" s="85">
        <v>1</v>
      </c>
      <c r="D84" s="86" t="s">
        <v>13</v>
      </c>
      <c r="E84" s="85"/>
      <c r="F84" s="69">
        <f t="shared" si="2"/>
        <v>111</v>
      </c>
      <c r="G84" s="69">
        <f t="shared" si="3"/>
        <v>82</v>
      </c>
      <c r="H84" s="73" t="s">
        <v>14</v>
      </c>
      <c r="I84" s="87" t="s">
        <v>215</v>
      </c>
      <c r="J84" s="64" t="s">
        <v>36</v>
      </c>
      <c r="K84" s="65"/>
      <c r="L84" s="72"/>
    </row>
    <row r="85" customHeight="1" spans="1:12">
      <c r="A85" s="101" t="s">
        <v>216</v>
      </c>
      <c r="B85" s="17" t="s">
        <v>79</v>
      </c>
      <c r="C85" s="85">
        <v>1</v>
      </c>
      <c r="D85" s="86" t="s">
        <v>13</v>
      </c>
      <c r="E85" s="85"/>
      <c r="F85" s="69">
        <f t="shared" si="2"/>
        <v>112</v>
      </c>
      <c r="G85" s="69">
        <f t="shared" si="3"/>
        <v>83</v>
      </c>
      <c r="H85" s="73" t="s">
        <v>14</v>
      </c>
      <c r="I85" s="87" t="s">
        <v>217</v>
      </c>
      <c r="J85" s="64"/>
      <c r="K85" s="65"/>
      <c r="L85" s="72"/>
    </row>
    <row r="86" customHeight="1" spans="1:12">
      <c r="A86" s="101" t="s">
        <v>218</v>
      </c>
      <c r="B86" s="17" t="s">
        <v>79</v>
      </c>
      <c r="C86" s="85">
        <v>1</v>
      </c>
      <c r="D86" s="86" t="s">
        <v>13</v>
      </c>
      <c r="E86" s="85"/>
      <c r="F86" s="69">
        <f t="shared" si="2"/>
        <v>113</v>
      </c>
      <c r="G86" s="69">
        <f t="shared" si="3"/>
        <v>84</v>
      </c>
      <c r="H86" s="73" t="s">
        <v>14</v>
      </c>
      <c r="I86" s="87" t="s">
        <v>219</v>
      </c>
      <c r="J86" s="64" t="s">
        <v>36</v>
      </c>
      <c r="K86" s="65"/>
      <c r="L86" s="72"/>
    </row>
    <row r="87" customHeight="1" spans="1:12">
      <c r="A87" s="101" t="s">
        <v>220</v>
      </c>
      <c r="B87" s="17" t="s">
        <v>79</v>
      </c>
      <c r="C87" s="85">
        <v>1</v>
      </c>
      <c r="D87" s="86" t="s">
        <v>13</v>
      </c>
      <c r="E87" s="85"/>
      <c r="F87" s="69">
        <f t="shared" si="2"/>
        <v>114</v>
      </c>
      <c r="G87" s="69">
        <f t="shared" si="3"/>
        <v>85</v>
      </c>
      <c r="H87" s="73" t="s">
        <v>14</v>
      </c>
      <c r="I87" s="87" t="s">
        <v>221</v>
      </c>
      <c r="J87" s="64" t="s">
        <v>36</v>
      </c>
      <c r="K87" s="65"/>
      <c r="L87" s="72"/>
    </row>
    <row r="88" customHeight="1" spans="1:12">
      <c r="A88" s="101" t="s">
        <v>222</v>
      </c>
      <c r="B88" s="17" t="s">
        <v>79</v>
      </c>
      <c r="C88" s="85">
        <v>1</v>
      </c>
      <c r="D88" s="86" t="s">
        <v>13</v>
      </c>
      <c r="E88" s="85"/>
      <c r="F88" s="69">
        <f t="shared" si="2"/>
        <v>115</v>
      </c>
      <c r="G88" s="69">
        <f t="shared" si="3"/>
        <v>86</v>
      </c>
      <c r="H88" s="73" t="s">
        <v>14</v>
      </c>
      <c r="I88" s="98" t="s">
        <v>223</v>
      </c>
      <c r="J88" s="64"/>
      <c r="K88" s="65"/>
      <c r="L88" s="72"/>
    </row>
    <row r="89" customHeight="1" spans="1:12">
      <c r="A89" s="101" t="s">
        <v>224</v>
      </c>
      <c r="B89" s="17" t="s">
        <v>79</v>
      </c>
      <c r="C89" s="85">
        <v>1</v>
      </c>
      <c r="D89" s="86" t="s">
        <v>13</v>
      </c>
      <c r="E89" s="85"/>
      <c r="F89" s="69">
        <f t="shared" si="2"/>
        <v>116</v>
      </c>
      <c r="G89" s="69">
        <f t="shared" si="3"/>
        <v>87</v>
      </c>
      <c r="H89" s="73" t="s">
        <v>14</v>
      </c>
      <c r="I89" s="98" t="s">
        <v>225</v>
      </c>
      <c r="J89" s="64" t="s">
        <v>36</v>
      </c>
      <c r="K89" s="65"/>
      <c r="L89" s="72"/>
    </row>
    <row r="90" customHeight="1" spans="1:12">
      <c r="A90" s="101" t="s">
        <v>226</v>
      </c>
      <c r="B90" s="17" t="s">
        <v>79</v>
      </c>
      <c r="C90" s="85">
        <v>1</v>
      </c>
      <c r="D90" s="86" t="s">
        <v>13</v>
      </c>
      <c r="E90" s="85"/>
      <c r="F90" s="69">
        <f t="shared" si="2"/>
        <v>117</v>
      </c>
      <c r="G90" s="69">
        <f t="shared" si="3"/>
        <v>88</v>
      </c>
      <c r="H90" s="73" t="s">
        <v>14</v>
      </c>
      <c r="I90" s="98" t="s">
        <v>227</v>
      </c>
      <c r="J90" s="64" t="s">
        <v>36</v>
      </c>
      <c r="K90" s="65"/>
      <c r="L90" s="72"/>
    </row>
    <row r="91" customHeight="1" spans="1:12">
      <c r="A91" s="101" t="s">
        <v>228</v>
      </c>
      <c r="B91" s="17" t="s">
        <v>79</v>
      </c>
      <c r="C91" s="85">
        <v>1</v>
      </c>
      <c r="D91" s="86" t="s">
        <v>13</v>
      </c>
      <c r="E91" s="85"/>
      <c r="F91" s="69">
        <f t="shared" si="2"/>
        <v>118</v>
      </c>
      <c r="G91" s="69">
        <f t="shared" si="3"/>
        <v>89</v>
      </c>
      <c r="H91" s="73" t="s">
        <v>14</v>
      </c>
      <c r="I91" s="87" t="s">
        <v>229</v>
      </c>
      <c r="J91" s="64"/>
      <c r="K91" s="65"/>
      <c r="L91" s="72"/>
    </row>
    <row r="92" customHeight="1" spans="1:12">
      <c r="A92" s="101" t="s">
        <v>230</v>
      </c>
      <c r="B92" s="17" t="s">
        <v>79</v>
      </c>
      <c r="C92" s="85">
        <v>1</v>
      </c>
      <c r="D92" s="86" t="s">
        <v>13</v>
      </c>
      <c r="E92" s="85"/>
      <c r="F92" s="69">
        <f t="shared" si="2"/>
        <v>119</v>
      </c>
      <c r="G92" s="69">
        <f t="shared" si="3"/>
        <v>90</v>
      </c>
      <c r="H92" s="73" t="s">
        <v>14</v>
      </c>
      <c r="I92" s="87" t="s">
        <v>231</v>
      </c>
      <c r="J92" s="64" t="s">
        <v>36</v>
      </c>
      <c r="K92" s="65"/>
      <c r="L92" s="72"/>
    </row>
    <row r="93" customHeight="1" spans="1:12">
      <c r="A93" s="101" t="s">
        <v>232</v>
      </c>
      <c r="B93" s="17" t="s">
        <v>79</v>
      </c>
      <c r="C93" s="85">
        <v>1</v>
      </c>
      <c r="D93" s="86" t="s">
        <v>13</v>
      </c>
      <c r="E93" s="85"/>
      <c r="F93" s="69">
        <f t="shared" si="2"/>
        <v>120</v>
      </c>
      <c r="G93" s="69">
        <f t="shared" si="3"/>
        <v>91</v>
      </c>
      <c r="H93" s="73" t="s">
        <v>14</v>
      </c>
      <c r="I93" s="87" t="s">
        <v>233</v>
      </c>
      <c r="J93" s="64" t="s">
        <v>36</v>
      </c>
      <c r="K93" s="65"/>
      <c r="L93" s="72"/>
    </row>
    <row r="94" customHeight="1" spans="1:12">
      <c r="A94" s="101" t="s">
        <v>234</v>
      </c>
      <c r="B94" s="17" t="s">
        <v>79</v>
      </c>
      <c r="C94" s="85">
        <v>1</v>
      </c>
      <c r="D94" s="86" t="s">
        <v>13</v>
      </c>
      <c r="E94" s="85"/>
      <c r="F94" s="69">
        <f t="shared" si="2"/>
        <v>121</v>
      </c>
      <c r="G94" s="69">
        <f t="shared" si="3"/>
        <v>92</v>
      </c>
      <c r="H94" s="73" t="s">
        <v>14</v>
      </c>
      <c r="I94" s="87" t="s">
        <v>235</v>
      </c>
      <c r="J94" s="64"/>
      <c r="K94" s="65"/>
      <c r="L94" s="72"/>
    </row>
    <row r="95" customHeight="1" spans="1:12">
      <c r="A95" s="101" t="s">
        <v>236</v>
      </c>
      <c r="B95" s="17" t="s">
        <v>79</v>
      </c>
      <c r="C95" s="85">
        <v>1</v>
      </c>
      <c r="D95" s="86" t="s">
        <v>13</v>
      </c>
      <c r="E95" s="85"/>
      <c r="F95" s="69">
        <f t="shared" si="2"/>
        <v>122</v>
      </c>
      <c r="G95" s="69">
        <f t="shared" si="3"/>
        <v>93</v>
      </c>
      <c r="H95" s="73" t="s">
        <v>14</v>
      </c>
      <c r="I95" s="87" t="s">
        <v>237</v>
      </c>
      <c r="J95" s="64" t="s">
        <v>36</v>
      </c>
      <c r="K95" s="65"/>
      <c r="L95" s="72"/>
    </row>
    <row r="96" customHeight="1" spans="1:12">
      <c r="A96" s="101" t="s">
        <v>238</v>
      </c>
      <c r="B96" s="17" t="s">
        <v>79</v>
      </c>
      <c r="C96" s="85">
        <v>1</v>
      </c>
      <c r="D96" s="86" t="s">
        <v>13</v>
      </c>
      <c r="E96" s="85"/>
      <c r="F96" s="69">
        <f t="shared" si="2"/>
        <v>123</v>
      </c>
      <c r="G96" s="69">
        <f t="shared" si="3"/>
        <v>94</v>
      </c>
      <c r="H96" s="73" t="s">
        <v>14</v>
      </c>
      <c r="I96" s="87" t="s">
        <v>239</v>
      </c>
      <c r="J96" s="64" t="s">
        <v>36</v>
      </c>
      <c r="K96" s="65"/>
      <c r="L96" s="72"/>
    </row>
    <row r="97" customHeight="1" spans="1:12">
      <c r="A97" s="101" t="s">
        <v>240</v>
      </c>
      <c r="B97" s="17" t="s">
        <v>79</v>
      </c>
      <c r="C97" s="85">
        <v>1</v>
      </c>
      <c r="D97" s="86" t="s">
        <v>13</v>
      </c>
      <c r="E97" s="85"/>
      <c r="F97" s="69">
        <f t="shared" si="2"/>
        <v>124</v>
      </c>
      <c r="G97" s="69">
        <f t="shared" si="3"/>
        <v>95</v>
      </c>
      <c r="H97" s="73" t="s">
        <v>14</v>
      </c>
      <c r="I97" s="87" t="s">
        <v>241</v>
      </c>
      <c r="J97" s="64"/>
      <c r="K97" s="65"/>
      <c r="L97" s="72"/>
    </row>
    <row r="98" customHeight="1" spans="1:12">
      <c r="A98" s="101" t="s">
        <v>242</v>
      </c>
      <c r="B98" s="17" t="s">
        <v>79</v>
      </c>
      <c r="C98" s="85">
        <v>1</v>
      </c>
      <c r="D98" s="86" t="s">
        <v>13</v>
      </c>
      <c r="E98" s="85"/>
      <c r="F98" s="69">
        <f t="shared" si="2"/>
        <v>125</v>
      </c>
      <c r="G98" s="69">
        <f t="shared" si="3"/>
        <v>96</v>
      </c>
      <c r="H98" s="73" t="s">
        <v>14</v>
      </c>
      <c r="I98" s="87" t="s">
        <v>243</v>
      </c>
      <c r="J98" s="64" t="s">
        <v>36</v>
      </c>
      <c r="K98" s="65"/>
      <c r="L98" s="72"/>
    </row>
    <row r="99" customHeight="1" spans="1:12">
      <c r="A99" s="101" t="s">
        <v>244</v>
      </c>
      <c r="B99" s="17" t="s">
        <v>79</v>
      </c>
      <c r="C99" s="85">
        <v>1</v>
      </c>
      <c r="D99" s="86" t="s">
        <v>13</v>
      </c>
      <c r="E99" s="85"/>
      <c r="F99" s="69">
        <f t="shared" si="2"/>
        <v>126</v>
      </c>
      <c r="G99" s="69">
        <f t="shared" si="3"/>
        <v>97</v>
      </c>
      <c r="H99" s="73" t="s">
        <v>14</v>
      </c>
      <c r="I99" s="87" t="s">
        <v>245</v>
      </c>
      <c r="J99" s="64" t="s">
        <v>36</v>
      </c>
      <c r="K99" s="65"/>
      <c r="L99" s="72"/>
    </row>
    <row r="100" customHeight="1" spans="1:12">
      <c r="A100" s="101" t="s">
        <v>246</v>
      </c>
      <c r="B100" s="17" t="s">
        <v>79</v>
      </c>
      <c r="C100" s="85">
        <v>1</v>
      </c>
      <c r="D100" s="86" t="s">
        <v>13</v>
      </c>
      <c r="E100" s="85"/>
      <c r="F100" s="69">
        <f t="shared" si="2"/>
        <v>127</v>
      </c>
      <c r="G100" s="69">
        <f t="shared" si="3"/>
        <v>98</v>
      </c>
      <c r="H100" s="73" t="s">
        <v>14</v>
      </c>
      <c r="I100" s="87" t="s">
        <v>247</v>
      </c>
      <c r="J100" s="64"/>
      <c r="K100" s="65"/>
      <c r="L100" s="72"/>
    </row>
    <row r="101" customHeight="1" spans="1:12">
      <c r="A101" s="101" t="s">
        <v>248</v>
      </c>
      <c r="B101" s="17" t="s">
        <v>79</v>
      </c>
      <c r="C101" s="85">
        <v>1</v>
      </c>
      <c r="D101" s="86" t="s">
        <v>13</v>
      </c>
      <c r="E101" s="85"/>
      <c r="F101" s="69">
        <f t="shared" si="2"/>
        <v>128</v>
      </c>
      <c r="G101" s="69">
        <f t="shared" si="3"/>
        <v>99</v>
      </c>
      <c r="H101" s="73" t="s">
        <v>14</v>
      </c>
      <c r="I101" s="87" t="s">
        <v>249</v>
      </c>
      <c r="J101" s="64" t="s">
        <v>36</v>
      </c>
      <c r="K101" s="65"/>
      <c r="L101" s="72"/>
    </row>
    <row r="102" customHeight="1" spans="1:12">
      <c r="A102" s="101" t="s">
        <v>250</v>
      </c>
      <c r="B102" s="17" t="s">
        <v>79</v>
      </c>
      <c r="C102" s="85">
        <v>1</v>
      </c>
      <c r="D102" s="86" t="s">
        <v>13</v>
      </c>
      <c r="E102" s="85"/>
      <c r="F102" s="69">
        <f t="shared" si="2"/>
        <v>129</v>
      </c>
      <c r="G102" s="69">
        <f t="shared" si="3"/>
        <v>100</v>
      </c>
      <c r="H102" s="73" t="s">
        <v>14</v>
      </c>
      <c r="I102" s="87" t="s">
        <v>251</v>
      </c>
      <c r="J102" s="64" t="s">
        <v>36</v>
      </c>
      <c r="K102" s="65"/>
      <c r="L102" s="72"/>
    </row>
    <row r="103" customHeight="1" spans="1:12">
      <c r="A103" s="101" t="s">
        <v>252</v>
      </c>
      <c r="B103" s="17" t="s">
        <v>79</v>
      </c>
      <c r="C103" s="85">
        <v>1</v>
      </c>
      <c r="D103" s="86" t="s">
        <v>13</v>
      </c>
      <c r="E103" s="85"/>
      <c r="F103" s="69">
        <f t="shared" si="2"/>
        <v>130</v>
      </c>
      <c r="G103" s="69">
        <f t="shared" si="3"/>
        <v>101</v>
      </c>
      <c r="H103" s="73" t="s">
        <v>14</v>
      </c>
      <c r="I103" s="87" t="s">
        <v>253</v>
      </c>
      <c r="J103" s="64"/>
      <c r="K103" s="65"/>
      <c r="L103" s="72"/>
    </row>
    <row r="104" customHeight="1" spans="1:12">
      <c r="A104" s="101" t="s">
        <v>254</v>
      </c>
      <c r="B104" s="17" t="s">
        <v>79</v>
      </c>
      <c r="C104" s="85">
        <v>1</v>
      </c>
      <c r="D104" s="86" t="s">
        <v>13</v>
      </c>
      <c r="E104" s="85"/>
      <c r="F104" s="69">
        <f t="shared" si="2"/>
        <v>131</v>
      </c>
      <c r="G104" s="69">
        <f t="shared" si="3"/>
        <v>102</v>
      </c>
      <c r="H104" s="73" t="s">
        <v>14</v>
      </c>
      <c r="I104" s="87" t="s">
        <v>255</v>
      </c>
      <c r="J104" s="64" t="s">
        <v>36</v>
      </c>
      <c r="K104" s="65"/>
      <c r="L104" s="72"/>
    </row>
    <row r="105" customHeight="1" spans="1:12">
      <c r="A105" s="101" t="s">
        <v>256</v>
      </c>
      <c r="B105" s="17" t="s">
        <v>79</v>
      </c>
      <c r="C105" s="85">
        <v>1</v>
      </c>
      <c r="D105" s="86" t="s">
        <v>13</v>
      </c>
      <c r="E105" s="85"/>
      <c r="F105" s="69">
        <f t="shared" si="2"/>
        <v>132</v>
      </c>
      <c r="G105" s="69">
        <f t="shared" si="3"/>
        <v>103</v>
      </c>
      <c r="H105" s="73" t="s">
        <v>14</v>
      </c>
      <c r="I105" s="87" t="s">
        <v>257</v>
      </c>
      <c r="J105" s="64" t="s">
        <v>36</v>
      </c>
      <c r="K105" s="65"/>
      <c r="L105" s="72"/>
    </row>
    <row r="106" customHeight="1" spans="1:12">
      <c r="A106" s="101" t="s">
        <v>258</v>
      </c>
      <c r="B106" s="17" t="s">
        <v>79</v>
      </c>
      <c r="C106" s="85">
        <v>1</v>
      </c>
      <c r="D106" s="86" t="s">
        <v>13</v>
      </c>
      <c r="E106" s="85"/>
      <c r="F106" s="69">
        <f t="shared" si="2"/>
        <v>133</v>
      </c>
      <c r="G106" s="69">
        <f t="shared" si="3"/>
        <v>104</v>
      </c>
      <c r="H106" s="73" t="s">
        <v>14</v>
      </c>
      <c r="I106" s="87" t="s">
        <v>259</v>
      </c>
      <c r="J106" s="64"/>
      <c r="K106" s="65"/>
      <c r="L106" s="72"/>
    </row>
    <row r="107" customHeight="1" spans="1:12">
      <c r="A107" s="101" t="s">
        <v>260</v>
      </c>
      <c r="B107" s="17" t="s">
        <v>79</v>
      </c>
      <c r="C107" s="85">
        <v>1</v>
      </c>
      <c r="D107" s="86" t="s">
        <v>13</v>
      </c>
      <c r="E107" s="85"/>
      <c r="F107" s="69">
        <f t="shared" si="2"/>
        <v>134</v>
      </c>
      <c r="G107" s="69">
        <f t="shared" si="3"/>
        <v>105</v>
      </c>
      <c r="H107" s="73" t="s">
        <v>14</v>
      </c>
      <c r="I107" s="87" t="s">
        <v>261</v>
      </c>
      <c r="J107" s="64" t="s">
        <v>36</v>
      </c>
      <c r="K107" s="65"/>
      <c r="L107" s="72"/>
    </row>
    <row r="108" customHeight="1" spans="1:12">
      <c r="A108" s="101" t="s">
        <v>262</v>
      </c>
      <c r="B108" s="17" t="s">
        <v>79</v>
      </c>
      <c r="C108" s="85">
        <v>1</v>
      </c>
      <c r="D108" s="86" t="s">
        <v>13</v>
      </c>
      <c r="E108" s="85"/>
      <c r="F108" s="69">
        <f t="shared" si="2"/>
        <v>135</v>
      </c>
      <c r="G108" s="69">
        <f t="shared" si="3"/>
        <v>106</v>
      </c>
      <c r="H108" s="73" t="s">
        <v>14</v>
      </c>
      <c r="I108" s="87" t="s">
        <v>263</v>
      </c>
      <c r="J108" s="64" t="s">
        <v>36</v>
      </c>
      <c r="K108" s="65"/>
      <c r="L108" s="72"/>
    </row>
    <row r="109" customHeight="1" spans="1:12">
      <c r="A109" s="101" t="s">
        <v>264</v>
      </c>
      <c r="B109" s="17" t="s">
        <v>79</v>
      </c>
      <c r="C109" s="85">
        <v>1</v>
      </c>
      <c r="D109" s="86" t="s">
        <v>13</v>
      </c>
      <c r="E109" s="85"/>
      <c r="F109" s="69">
        <f t="shared" si="2"/>
        <v>136</v>
      </c>
      <c r="G109" s="69">
        <f t="shared" si="3"/>
        <v>107</v>
      </c>
      <c r="H109" s="73" t="s">
        <v>14</v>
      </c>
      <c r="I109" s="87" t="s">
        <v>265</v>
      </c>
      <c r="J109" s="64"/>
      <c r="K109" s="65"/>
      <c r="L109" s="72"/>
    </row>
    <row r="110" customHeight="1" spans="1:12">
      <c r="A110" s="101" t="s">
        <v>266</v>
      </c>
      <c r="B110" s="17" t="s">
        <v>79</v>
      </c>
      <c r="C110" s="85">
        <v>1</v>
      </c>
      <c r="D110" s="86" t="s">
        <v>13</v>
      </c>
      <c r="E110" s="85"/>
      <c r="F110" s="69">
        <f t="shared" si="2"/>
        <v>137</v>
      </c>
      <c r="G110" s="69">
        <f t="shared" si="3"/>
        <v>108</v>
      </c>
      <c r="H110" s="73" t="s">
        <v>14</v>
      </c>
      <c r="I110" s="87" t="s">
        <v>267</v>
      </c>
      <c r="J110" s="64" t="s">
        <v>36</v>
      </c>
      <c r="K110" s="65"/>
      <c r="L110" s="72"/>
    </row>
    <row r="111" customHeight="1" spans="1:12">
      <c r="A111" s="101" t="s">
        <v>268</v>
      </c>
      <c r="B111" s="17" t="s">
        <v>79</v>
      </c>
      <c r="C111" s="85">
        <v>1</v>
      </c>
      <c r="D111" s="86" t="s">
        <v>13</v>
      </c>
      <c r="E111" s="85"/>
      <c r="F111" s="69">
        <f t="shared" si="2"/>
        <v>138</v>
      </c>
      <c r="G111" s="69">
        <f t="shared" si="3"/>
        <v>109</v>
      </c>
      <c r="H111" s="73" t="s">
        <v>14</v>
      </c>
      <c r="I111" s="87" t="s">
        <v>269</v>
      </c>
      <c r="J111" s="64" t="s">
        <v>36</v>
      </c>
      <c r="K111" s="65"/>
      <c r="L111" s="72"/>
    </row>
    <row r="112" customHeight="1" spans="1:12">
      <c r="A112" s="101" t="s">
        <v>270</v>
      </c>
      <c r="B112" s="17" t="s">
        <v>79</v>
      </c>
      <c r="C112" s="85">
        <v>1</v>
      </c>
      <c r="D112" s="86" t="s">
        <v>13</v>
      </c>
      <c r="E112" s="85"/>
      <c r="F112" s="69">
        <f t="shared" si="2"/>
        <v>139</v>
      </c>
      <c r="G112" s="69">
        <f t="shared" si="3"/>
        <v>110</v>
      </c>
      <c r="H112" s="73" t="s">
        <v>14</v>
      </c>
      <c r="I112" s="87" t="s">
        <v>271</v>
      </c>
      <c r="J112" s="64"/>
      <c r="K112" s="65"/>
      <c r="L112" s="72"/>
    </row>
    <row r="113" customHeight="1" spans="1:12">
      <c r="A113" s="101" t="s">
        <v>272</v>
      </c>
      <c r="B113" s="17" t="s">
        <v>79</v>
      </c>
      <c r="C113" s="85">
        <v>1</v>
      </c>
      <c r="D113" s="86" t="s">
        <v>13</v>
      </c>
      <c r="E113" s="85"/>
      <c r="F113" s="69">
        <f t="shared" si="2"/>
        <v>140</v>
      </c>
      <c r="G113" s="69">
        <f t="shared" si="3"/>
        <v>111</v>
      </c>
      <c r="H113" s="73" t="s">
        <v>14</v>
      </c>
      <c r="I113" s="87" t="s">
        <v>273</v>
      </c>
      <c r="J113" s="64" t="s">
        <v>36</v>
      </c>
      <c r="K113" s="65"/>
      <c r="L113" s="72"/>
    </row>
    <row r="114" customHeight="1" spans="1:12">
      <c r="A114" s="101" t="s">
        <v>274</v>
      </c>
      <c r="B114" s="17" t="s">
        <v>79</v>
      </c>
      <c r="C114" s="85">
        <v>1</v>
      </c>
      <c r="D114" s="86" t="s">
        <v>13</v>
      </c>
      <c r="E114" s="85"/>
      <c r="F114" s="69">
        <f t="shared" si="2"/>
        <v>141</v>
      </c>
      <c r="G114" s="69">
        <f t="shared" si="3"/>
        <v>112</v>
      </c>
      <c r="H114" s="73" t="s">
        <v>14</v>
      </c>
      <c r="I114" s="87" t="s">
        <v>275</v>
      </c>
      <c r="J114" s="64" t="s">
        <v>36</v>
      </c>
      <c r="K114" s="65"/>
      <c r="L114" s="72"/>
    </row>
    <row r="115" customHeight="1" spans="1:12">
      <c r="A115" s="101" t="s">
        <v>276</v>
      </c>
      <c r="B115" s="17" t="s">
        <v>79</v>
      </c>
      <c r="C115" s="85">
        <v>1</v>
      </c>
      <c r="D115" s="86" t="s">
        <v>13</v>
      </c>
      <c r="E115" s="85"/>
      <c r="F115" s="69">
        <f t="shared" si="2"/>
        <v>142</v>
      </c>
      <c r="G115" s="69">
        <f t="shared" si="3"/>
        <v>113</v>
      </c>
      <c r="H115" s="73" t="s">
        <v>14</v>
      </c>
      <c r="I115" s="87" t="s">
        <v>277</v>
      </c>
      <c r="J115" s="64"/>
      <c r="K115" s="65"/>
      <c r="L115" s="72"/>
    </row>
    <row r="116" customHeight="1" spans="1:12">
      <c r="A116" s="101" t="s">
        <v>278</v>
      </c>
      <c r="B116" s="17" t="s">
        <v>79</v>
      </c>
      <c r="C116" s="85">
        <v>1</v>
      </c>
      <c r="D116" s="86" t="s">
        <v>13</v>
      </c>
      <c r="E116" s="85"/>
      <c r="F116" s="69">
        <f t="shared" si="2"/>
        <v>143</v>
      </c>
      <c r="G116" s="69">
        <f t="shared" si="3"/>
        <v>114</v>
      </c>
      <c r="H116" s="73" t="s">
        <v>14</v>
      </c>
      <c r="I116" s="87" t="s">
        <v>279</v>
      </c>
      <c r="J116" s="64" t="s">
        <v>36</v>
      </c>
      <c r="K116" s="65"/>
      <c r="L116" s="72"/>
    </row>
    <row r="117" customHeight="1" spans="1:12">
      <c r="A117" s="101" t="s">
        <v>280</v>
      </c>
      <c r="B117" s="17" t="s">
        <v>79</v>
      </c>
      <c r="C117" s="85">
        <v>1</v>
      </c>
      <c r="D117" s="86" t="s">
        <v>13</v>
      </c>
      <c r="E117" s="85"/>
      <c r="F117" s="69">
        <f t="shared" si="2"/>
        <v>144</v>
      </c>
      <c r="G117" s="69">
        <f t="shared" si="3"/>
        <v>115</v>
      </c>
      <c r="H117" s="73" t="s">
        <v>14</v>
      </c>
      <c r="I117" s="87" t="s">
        <v>281</v>
      </c>
      <c r="J117" s="64" t="s">
        <v>36</v>
      </c>
      <c r="K117" s="65"/>
      <c r="L117" s="72"/>
    </row>
    <row r="118" customHeight="1" spans="1:12">
      <c r="A118" s="101" t="s">
        <v>282</v>
      </c>
      <c r="B118" s="17" t="s">
        <v>79</v>
      </c>
      <c r="C118" s="85">
        <v>1</v>
      </c>
      <c r="D118" s="86" t="s">
        <v>13</v>
      </c>
      <c r="E118" s="85"/>
      <c r="F118" s="69">
        <f t="shared" si="2"/>
        <v>145</v>
      </c>
      <c r="G118" s="69">
        <f t="shared" si="3"/>
        <v>116</v>
      </c>
      <c r="H118" s="73" t="s">
        <v>14</v>
      </c>
      <c r="I118" s="98" t="s">
        <v>283</v>
      </c>
      <c r="J118" s="64"/>
      <c r="K118" s="65"/>
      <c r="L118" s="72"/>
    </row>
    <row r="119" customHeight="1" spans="1:12">
      <c r="A119" s="101" t="s">
        <v>284</v>
      </c>
      <c r="B119" s="17" t="s">
        <v>79</v>
      </c>
      <c r="C119" s="85">
        <v>1</v>
      </c>
      <c r="D119" s="86" t="s">
        <v>13</v>
      </c>
      <c r="E119" s="85"/>
      <c r="F119" s="69">
        <f t="shared" si="2"/>
        <v>146</v>
      </c>
      <c r="G119" s="69">
        <f t="shared" si="3"/>
        <v>117</v>
      </c>
      <c r="H119" s="73" t="s">
        <v>14</v>
      </c>
      <c r="I119" s="98" t="s">
        <v>285</v>
      </c>
      <c r="J119" s="64" t="s">
        <v>36</v>
      </c>
      <c r="K119" s="65"/>
      <c r="L119" s="72"/>
    </row>
    <row r="120" customHeight="1" spans="1:12">
      <c r="A120" s="101" t="s">
        <v>286</v>
      </c>
      <c r="B120" s="17" t="s">
        <v>79</v>
      </c>
      <c r="C120" s="85">
        <v>1</v>
      </c>
      <c r="D120" s="86" t="s">
        <v>13</v>
      </c>
      <c r="E120" s="85"/>
      <c r="F120" s="69">
        <f t="shared" si="2"/>
        <v>147</v>
      </c>
      <c r="G120" s="69">
        <f t="shared" si="3"/>
        <v>118</v>
      </c>
      <c r="H120" s="73" t="s">
        <v>14</v>
      </c>
      <c r="I120" s="98" t="s">
        <v>287</v>
      </c>
      <c r="J120" s="64" t="s">
        <v>36</v>
      </c>
      <c r="K120" s="65"/>
      <c r="L120" s="72"/>
    </row>
    <row r="121" customHeight="1" spans="1:12">
      <c r="A121" s="101" t="s">
        <v>288</v>
      </c>
      <c r="B121" s="17" t="s">
        <v>79</v>
      </c>
      <c r="C121" s="85">
        <v>1</v>
      </c>
      <c r="D121" s="86" t="s">
        <v>13</v>
      </c>
      <c r="E121" s="85"/>
      <c r="F121" s="69">
        <f t="shared" si="2"/>
        <v>148</v>
      </c>
      <c r="G121" s="69">
        <f t="shared" si="3"/>
        <v>119</v>
      </c>
      <c r="H121" s="73" t="s">
        <v>14</v>
      </c>
      <c r="I121" s="22" t="s">
        <v>289</v>
      </c>
      <c r="J121" s="64" t="s">
        <v>36</v>
      </c>
      <c r="K121" s="65"/>
      <c r="L121" s="72"/>
    </row>
    <row r="122" customHeight="1" spans="1:12">
      <c r="A122" s="101" t="s">
        <v>290</v>
      </c>
      <c r="B122" s="17" t="s">
        <v>79</v>
      </c>
      <c r="C122" s="85">
        <v>1</v>
      </c>
      <c r="D122" s="86" t="s">
        <v>13</v>
      </c>
      <c r="E122" s="85"/>
      <c r="F122" s="69">
        <f t="shared" si="2"/>
        <v>149</v>
      </c>
      <c r="G122" s="69">
        <f t="shared" si="3"/>
        <v>120</v>
      </c>
      <c r="H122" s="73" t="s">
        <v>14</v>
      </c>
      <c r="I122" s="87" t="s">
        <v>291</v>
      </c>
      <c r="J122" s="64"/>
      <c r="K122" s="65"/>
      <c r="L122" s="72"/>
    </row>
    <row r="123" customHeight="1" spans="1:12">
      <c r="A123" s="101" t="s">
        <v>292</v>
      </c>
      <c r="B123" s="17" t="s">
        <v>79</v>
      </c>
      <c r="C123" s="85">
        <v>1</v>
      </c>
      <c r="D123" s="86" t="s">
        <v>13</v>
      </c>
      <c r="E123" s="85"/>
      <c r="F123" s="69">
        <f t="shared" si="2"/>
        <v>150</v>
      </c>
      <c r="G123" s="69">
        <f t="shared" si="3"/>
        <v>121</v>
      </c>
      <c r="H123" s="73" t="s">
        <v>14</v>
      </c>
      <c r="I123" s="98" t="s">
        <v>293</v>
      </c>
      <c r="J123" s="64" t="s">
        <v>36</v>
      </c>
      <c r="K123" s="65"/>
      <c r="L123" s="72"/>
    </row>
    <row r="124" customHeight="1" spans="1:12">
      <c r="A124" s="101" t="s">
        <v>294</v>
      </c>
      <c r="B124" s="17" t="s">
        <v>79</v>
      </c>
      <c r="C124" s="85">
        <v>1</v>
      </c>
      <c r="D124" s="86" t="s">
        <v>13</v>
      </c>
      <c r="E124" s="85"/>
      <c r="F124" s="69">
        <f t="shared" si="2"/>
        <v>151</v>
      </c>
      <c r="G124" s="69">
        <f t="shared" si="3"/>
        <v>122</v>
      </c>
      <c r="H124" s="73" t="s">
        <v>14</v>
      </c>
      <c r="I124" s="87" t="s">
        <v>295</v>
      </c>
      <c r="J124" s="64" t="s">
        <v>36</v>
      </c>
      <c r="K124" s="65"/>
      <c r="L124" s="72"/>
    </row>
    <row r="125" customHeight="1" spans="1:12">
      <c r="A125" s="101" t="s">
        <v>296</v>
      </c>
      <c r="B125" s="17" t="s">
        <v>79</v>
      </c>
      <c r="C125" s="85">
        <v>1</v>
      </c>
      <c r="D125" s="86" t="s">
        <v>13</v>
      </c>
      <c r="E125" s="85"/>
      <c r="F125" s="69">
        <f t="shared" si="2"/>
        <v>152</v>
      </c>
      <c r="G125" s="69">
        <f t="shared" si="3"/>
        <v>123</v>
      </c>
      <c r="H125" s="73" t="s">
        <v>14</v>
      </c>
      <c r="I125" s="87" t="s">
        <v>297</v>
      </c>
      <c r="J125" s="64"/>
      <c r="K125" s="65"/>
      <c r="L125" s="72"/>
    </row>
    <row r="126" customHeight="1" spans="1:12">
      <c r="A126" s="101" t="s">
        <v>298</v>
      </c>
      <c r="B126" s="17" t="s">
        <v>79</v>
      </c>
      <c r="C126" s="85">
        <v>1</v>
      </c>
      <c r="D126" s="86" t="s">
        <v>13</v>
      </c>
      <c r="E126" s="85"/>
      <c r="F126" s="69">
        <f t="shared" si="2"/>
        <v>153</v>
      </c>
      <c r="G126" s="69">
        <f t="shared" si="3"/>
        <v>124</v>
      </c>
      <c r="H126" s="73" t="s">
        <v>14</v>
      </c>
      <c r="I126" s="87" t="s">
        <v>299</v>
      </c>
      <c r="J126" s="64" t="s">
        <v>36</v>
      </c>
      <c r="K126" s="65"/>
      <c r="L126" s="72"/>
    </row>
    <row r="127" customHeight="1" spans="1:12">
      <c r="A127" s="101" t="s">
        <v>300</v>
      </c>
      <c r="B127" s="17" t="s">
        <v>79</v>
      </c>
      <c r="C127" s="85">
        <v>1</v>
      </c>
      <c r="D127" s="86" t="s">
        <v>13</v>
      </c>
      <c r="E127" s="85"/>
      <c r="F127" s="69">
        <f t="shared" si="2"/>
        <v>154</v>
      </c>
      <c r="G127" s="69">
        <f t="shared" si="3"/>
        <v>125</v>
      </c>
      <c r="H127" s="73" t="s">
        <v>14</v>
      </c>
      <c r="I127" s="87" t="s">
        <v>301</v>
      </c>
      <c r="J127" s="64" t="s">
        <v>36</v>
      </c>
      <c r="K127" s="65"/>
      <c r="L127" s="72"/>
    </row>
    <row r="128" customHeight="1" spans="1:12">
      <c r="A128" s="101" t="s">
        <v>302</v>
      </c>
      <c r="B128" s="17" t="s">
        <v>79</v>
      </c>
      <c r="C128" s="85">
        <v>1</v>
      </c>
      <c r="D128" s="86" t="s">
        <v>13</v>
      </c>
      <c r="E128" s="85"/>
      <c r="F128" s="69">
        <f t="shared" si="2"/>
        <v>155</v>
      </c>
      <c r="G128" s="69">
        <f t="shared" si="3"/>
        <v>126</v>
      </c>
      <c r="H128" s="73" t="s">
        <v>14</v>
      </c>
      <c r="I128" s="87" t="s">
        <v>303</v>
      </c>
      <c r="J128" s="64"/>
      <c r="K128" s="65"/>
      <c r="L128" s="72"/>
    </row>
    <row r="129" customHeight="1" spans="1:12">
      <c r="A129" s="101" t="s">
        <v>304</v>
      </c>
      <c r="B129" s="17" t="s">
        <v>79</v>
      </c>
      <c r="C129" s="85">
        <v>1</v>
      </c>
      <c r="D129" s="86" t="s">
        <v>13</v>
      </c>
      <c r="E129" s="85"/>
      <c r="F129" s="69">
        <f t="shared" si="2"/>
        <v>156</v>
      </c>
      <c r="G129" s="69">
        <f t="shared" si="3"/>
        <v>127</v>
      </c>
      <c r="H129" s="73" t="s">
        <v>14</v>
      </c>
      <c r="I129" s="87" t="s">
        <v>305</v>
      </c>
      <c r="J129" s="64" t="s">
        <v>36</v>
      </c>
      <c r="K129" s="65"/>
      <c r="L129" s="72"/>
    </row>
    <row r="130" customHeight="1" spans="1:12">
      <c r="A130" s="101" t="s">
        <v>306</v>
      </c>
      <c r="B130" s="17" t="s">
        <v>79</v>
      </c>
      <c r="C130" s="85">
        <v>1</v>
      </c>
      <c r="D130" s="86" t="s">
        <v>13</v>
      </c>
      <c r="E130" s="85"/>
      <c r="F130" s="69">
        <f t="shared" si="2"/>
        <v>157</v>
      </c>
      <c r="G130" s="69">
        <f t="shared" si="3"/>
        <v>128</v>
      </c>
      <c r="H130" s="73" t="s">
        <v>14</v>
      </c>
      <c r="I130" s="87" t="s">
        <v>307</v>
      </c>
      <c r="J130" s="64" t="s">
        <v>36</v>
      </c>
      <c r="K130" s="65"/>
      <c r="L130" s="72"/>
    </row>
    <row r="131" customHeight="1" spans="1:12">
      <c r="A131" s="101" t="s">
        <v>308</v>
      </c>
      <c r="B131" s="17" t="s">
        <v>79</v>
      </c>
      <c r="C131" s="85">
        <v>1</v>
      </c>
      <c r="D131" s="86" t="s">
        <v>13</v>
      </c>
      <c r="E131" s="85"/>
      <c r="F131" s="69">
        <f t="shared" si="2"/>
        <v>158</v>
      </c>
      <c r="G131" s="69">
        <f t="shared" si="3"/>
        <v>129</v>
      </c>
      <c r="H131" s="73" t="s">
        <v>14</v>
      </c>
      <c r="I131" s="87" t="s">
        <v>309</v>
      </c>
      <c r="J131" s="64"/>
      <c r="K131" s="65"/>
      <c r="L131" s="72"/>
    </row>
    <row r="132" customHeight="1" spans="1:12">
      <c r="A132" s="101" t="s">
        <v>310</v>
      </c>
      <c r="B132" s="17" t="s">
        <v>79</v>
      </c>
      <c r="C132" s="85">
        <v>1</v>
      </c>
      <c r="D132" s="86" t="s">
        <v>13</v>
      </c>
      <c r="E132" s="85"/>
      <c r="F132" s="69">
        <f t="shared" ref="F132:F195" si="4">F131+C131</f>
        <v>159</v>
      </c>
      <c r="G132" s="69">
        <f t="shared" si="3"/>
        <v>130</v>
      </c>
      <c r="H132" s="73" t="s">
        <v>14</v>
      </c>
      <c r="I132" s="87" t="s">
        <v>311</v>
      </c>
      <c r="J132" s="64" t="s">
        <v>36</v>
      </c>
      <c r="K132" s="65"/>
      <c r="L132" s="72"/>
    </row>
    <row r="133" customHeight="1" spans="1:12">
      <c r="A133" s="101" t="s">
        <v>312</v>
      </c>
      <c r="B133" s="17" t="s">
        <v>79</v>
      </c>
      <c r="C133" s="85">
        <v>1</v>
      </c>
      <c r="D133" s="86" t="s">
        <v>13</v>
      </c>
      <c r="E133" s="85"/>
      <c r="F133" s="69">
        <f t="shared" si="4"/>
        <v>160</v>
      </c>
      <c r="G133" s="69">
        <f t="shared" si="3"/>
        <v>131</v>
      </c>
      <c r="H133" s="73" t="s">
        <v>14</v>
      </c>
      <c r="I133" s="87" t="s">
        <v>313</v>
      </c>
      <c r="J133" s="64" t="s">
        <v>36</v>
      </c>
      <c r="K133" s="65"/>
      <c r="L133" s="72"/>
    </row>
    <row r="134" customHeight="1" spans="1:12">
      <c r="A134" s="101" t="s">
        <v>314</v>
      </c>
      <c r="B134" s="17" t="s">
        <v>79</v>
      </c>
      <c r="C134" s="85">
        <v>1</v>
      </c>
      <c r="D134" s="86" t="s">
        <v>13</v>
      </c>
      <c r="E134" s="85"/>
      <c r="F134" s="69">
        <f t="shared" si="4"/>
        <v>161</v>
      </c>
      <c r="G134" s="69">
        <f t="shared" si="3"/>
        <v>132</v>
      </c>
      <c r="H134" s="73" t="s">
        <v>14</v>
      </c>
      <c r="I134" s="87" t="s">
        <v>315</v>
      </c>
      <c r="J134" s="64"/>
      <c r="K134" s="65"/>
      <c r="L134" s="72"/>
    </row>
    <row r="135" customHeight="1" spans="1:12">
      <c r="A135" s="101" t="s">
        <v>316</v>
      </c>
      <c r="B135" s="17" t="s">
        <v>79</v>
      </c>
      <c r="C135" s="85">
        <v>1</v>
      </c>
      <c r="D135" s="86" t="s">
        <v>13</v>
      </c>
      <c r="E135" s="85"/>
      <c r="F135" s="69">
        <f t="shared" si="4"/>
        <v>162</v>
      </c>
      <c r="G135" s="69">
        <f t="shared" si="3"/>
        <v>133</v>
      </c>
      <c r="H135" s="73" t="s">
        <v>14</v>
      </c>
      <c r="I135" s="87" t="s">
        <v>317</v>
      </c>
      <c r="J135" s="64" t="s">
        <v>36</v>
      </c>
      <c r="K135" s="65"/>
      <c r="L135" s="72"/>
    </row>
    <row r="136" customHeight="1" spans="1:12">
      <c r="A136" s="101" t="s">
        <v>318</v>
      </c>
      <c r="B136" s="17" t="s">
        <v>79</v>
      </c>
      <c r="C136" s="85">
        <v>1</v>
      </c>
      <c r="D136" s="86" t="s">
        <v>13</v>
      </c>
      <c r="E136" s="85"/>
      <c r="F136" s="69">
        <f t="shared" si="4"/>
        <v>163</v>
      </c>
      <c r="G136" s="69">
        <f t="shared" si="3"/>
        <v>134</v>
      </c>
      <c r="H136" s="73" t="s">
        <v>14</v>
      </c>
      <c r="I136" s="87" t="s">
        <v>319</v>
      </c>
      <c r="J136" s="64" t="s">
        <v>36</v>
      </c>
      <c r="K136" s="65"/>
      <c r="L136" s="72"/>
    </row>
    <row r="137" customHeight="1" spans="1:12">
      <c r="A137" s="101" t="s">
        <v>320</v>
      </c>
      <c r="B137" s="17" t="s">
        <v>79</v>
      </c>
      <c r="C137" s="85">
        <v>1</v>
      </c>
      <c r="D137" s="86" t="s">
        <v>13</v>
      </c>
      <c r="E137" s="85"/>
      <c r="F137" s="69">
        <f t="shared" si="4"/>
        <v>164</v>
      </c>
      <c r="G137" s="69">
        <f t="shared" si="3"/>
        <v>135</v>
      </c>
      <c r="H137" s="73" t="s">
        <v>14</v>
      </c>
      <c r="I137" s="87" t="s">
        <v>321</v>
      </c>
      <c r="J137" s="64"/>
      <c r="K137" s="65"/>
      <c r="L137" s="72"/>
    </row>
    <row r="138" customHeight="1" spans="1:12">
      <c r="A138" s="101" t="s">
        <v>322</v>
      </c>
      <c r="B138" s="17" t="s">
        <v>79</v>
      </c>
      <c r="C138" s="85">
        <v>1</v>
      </c>
      <c r="D138" s="86" t="s">
        <v>13</v>
      </c>
      <c r="E138" s="85"/>
      <c r="F138" s="69">
        <f t="shared" si="4"/>
        <v>165</v>
      </c>
      <c r="G138" s="69">
        <f t="shared" ref="G138:G203" si="5">G137+1</f>
        <v>136</v>
      </c>
      <c r="H138" s="73" t="s">
        <v>14</v>
      </c>
      <c r="I138" s="87" t="s">
        <v>323</v>
      </c>
      <c r="J138" s="64" t="s">
        <v>36</v>
      </c>
      <c r="K138" s="65"/>
      <c r="L138" s="72"/>
    </row>
    <row r="139" customHeight="1" spans="1:12">
      <c r="A139" s="101" t="s">
        <v>324</v>
      </c>
      <c r="B139" s="17" t="s">
        <v>79</v>
      </c>
      <c r="C139" s="85">
        <v>1</v>
      </c>
      <c r="D139" s="86" t="s">
        <v>13</v>
      </c>
      <c r="E139" s="85"/>
      <c r="F139" s="69">
        <f t="shared" si="4"/>
        <v>166</v>
      </c>
      <c r="G139" s="69">
        <f t="shared" si="5"/>
        <v>137</v>
      </c>
      <c r="H139" s="73" t="s">
        <v>14</v>
      </c>
      <c r="I139" s="87" t="s">
        <v>325</v>
      </c>
      <c r="J139" s="64" t="s">
        <v>36</v>
      </c>
      <c r="K139" s="65"/>
      <c r="L139" s="72"/>
    </row>
    <row r="140" customHeight="1" spans="1:12">
      <c r="A140" s="101" t="s">
        <v>326</v>
      </c>
      <c r="B140" s="17" t="s">
        <v>79</v>
      </c>
      <c r="C140" s="85">
        <v>1</v>
      </c>
      <c r="D140" s="86" t="s">
        <v>13</v>
      </c>
      <c r="E140" s="85"/>
      <c r="F140" s="69">
        <f t="shared" si="4"/>
        <v>167</v>
      </c>
      <c r="G140" s="69">
        <f t="shared" si="5"/>
        <v>138</v>
      </c>
      <c r="H140" s="73" t="s">
        <v>14</v>
      </c>
      <c r="I140" s="87" t="s">
        <v>327</v>
      </c>
      <c r="J140" s="64"/>
      <c r="K140" s="65"/>
      <c r="L140" s="72"/>
    </row>
    <row r="141" customHeight="1" spans="1:12">
      <c r="A141" s="101" t="s">
        <v>328</v>
      </c>
      <c r="B141" s="17" t="s">
        <v>79</v>
      </c>
      <c r="C141" s="85">
        <v>1</v>
      </c>
      <c r="D141" s="86" t="s">
        <v>13</v>
      </c>
      <c r="E141" s="85"/>
      <c r="F141" s="69">
        <f t="shared" si="4"/>
        <v>168</v>
      </c>
      <c r="G141" s="69">
        <f t="shared" si="5"/>
        <v>139</v>
      </c>
      <c r="H141" s="73" t="s">
        <v>14</v>
      </c>
      <c r="I141" s="98" t="s">
        <v>329</v>
      </c>
      <c r="J141" s="64" t="s">
        <v>36</v>
      </c>
      <c r="K141" s="65"/>
      <c r="L141" s="72"/>
    </row>
    <row r="142" customHeight="1" spans="1:12">
      <c r="A142" s="101" t="s">
        <v>330</v>
      </c>
      <c r="B142" s="17" t="s">
        <v>79</v>
      </c>
      <c r="C142" s="85">
        <v>1</v>
      </c>
      <c r="D142" s="86" t="s">
        <v>13</v>
      </c>
      <c r="E142" s="85"/>
      <c r="F142" s="69">
        <f t="shared" si="4"/>
        <v>169</v>
      </c>
      <c r="G142" s="69">
        <f t="shared" si="5"/>
        <v>140</v>
      </c>
      <c r="H142" s="73" t="s">
        <v>14</v>
      </c>
      <c r="I142" s="98" t="s">
        <v>331</v>
      </c>
      <c r="J142" s="64" t="s">
        <v>36</v>
      </c>
      <c r="K142" s="65"/>
      <c r="L142" s="72"/>
    </row>
    <row r="143" customHeight="1" spans="1:12">
      <c r="A143" s="101" t="s">
        <v>332</v>
      </c>
      <c r="B143" s="17" t="s">
        <v>79</v>
      </c>
      <c r="C143" s="85">
        <v>1</v>
      </c>
      <c r="D143" s="86" t="s">
        <v>13</v>
      </c>
      <c r="E143" s="85"/>
      <c r="F143" s="69">
        <f t="shared" si="4"/>
        <v>170</v>
      </c>
      <c r="G143" s="69">
        <f t="shared" si="5"/>
        <v>141</v>
      </c>
      <c r="H143" s="73" t="s">
        <v>14</v>
      </c>
      <c r="I143" s="98" t="s">
        <v>333</v>
      </c>
      <c r="J143" s="64"/>
      <c r="K143" s="65"/>
      <c r="L143" s="72"/>
    </row>
    <row r="144" customHeight="1" spans="1:12">
      <c r="A144" s="101" t="s">
        <v>334</v>
      </c>
      <c r="B144" s="17" t="s">
        <v>79</v>
      </c>
      <c r="C144" s="85">
        <v>1</v>
      </c>
      <c r="D144" s="86" t="s">
        <v>13</v>
      </c>
      <c r="E144" s="85"/>
      <c r="F144" s="69">
        <f t="shared" si="4"/>
        <v>171</v>
      </c>
      <c r="G144" s="69">
        <f t="shared" si="5"/>
        <v>142</v>
      </c>
      <c r="H144" s="73" t="s">
        <v>14</v>
      </c>
      <c r="I144" s="98" t="s">
        <v>335</v>
      </c>
      <c r="J144" s="64" t="s">
        <v>36</v>
      </c>
      <c r="K144" s="65"/>
      <c r="L144" s="72"/>
    </row>
    <row r="145" customHeight="1" spans="1:12">
      <c r="A145" s="101" t="s">
        <v>336</v>
      </c>
      <c r="B145" s="17" t="s">
        <v>79</v>
      </c>
      <c r="C145" s="85">
        <v>1</v>
      </c>
      <c r="D145" s="86" t="s">
        <v>13</v>
      </c>
      <c r="E145" s="85"/>
      <c r="F145" s="69">
        <f t="shared" si="4"/>
        <v>172</v>
      </c>
      <c r="G145" s="69">
        <f t="shared" si="5"/>
        <v>143</v>
      </c>
      <c r="H145" s="73" t="s">
        <v>14</v>
      </c>
      <c r="I145" s="98" t="s">
        <v>337</v>
      </c>
      <c r="J145" s="64" t="s">
        <v>36</v>
      </c>
      <c r="K145" s="65"/>
      <c r="L145" s="72"/>
    </row>
    <row r="146" customHeight="1" spans="1:12">
      <c r="A146" s="101" t="s">
        <v>338</v>
      </c>
      <c r="B146" s="17" t="s">
        <v>79</v>
      </c>
      <c r="C146" s="85">
        <v>1</v>
      </c>
      <c r="D146" s="86" t="s">
        <v>13</v>
      </c>
      <c r="E146" s="85"/>
      <c r="F146" s="69">
        <f t="shared" si="4"/>
        <v>173</v>
      </c>
      <c r="G146" s="69">
        <f t="shared" si="5"/>
        <v>144</v>
      </c>
      <c r="H146" s="73" t="s">
        <v>14</v>
      </c>
      <c r="I146" s="98" t="s">
        <v>339</v>
      </c>
      <c r="J146" s="64"/>
      <c r="K146" s="65"/>
      <c r="L146" s="72"/>
    </row>
    <row r="147" customHeight="1" spans="1:12">
      <c r="A147" s="101" t="s">
        <v>340</v>
      </c>
      <c r="B147" s="17" t="s">
        <v>79</v>
      </c>
      <c r="C147" s="85">
        <v>1</v>
      </c>
      <c r="D147" s="86" t="s">
        <v>13</v>
      </c>
      <c r="E147" s="85"/>
      <c r="F147" s="69">
        <f t="shared" si="4"/>
        <v>174</v>
      </c>
      <c r="G147" s="69">
        <f t="shared" si="5"/>
        <v>145</v>
      </c>
      <c r="H147" s="73" t="s">
        <v>14</v>
      </c>
      <c r="I147" s="98" t="s">
        <v>341</v>
      </c>
      <c r="J147" s="64" t="s">
        <v>36</v>
      </c>
      <c r="K147" s="65"/>
      <c r="L147" s="72"/>
    </row>
    <row r="148" customHeight="1" spans="1:12">
      <c r="A148" s="102" t="s">
        <v>342</v>
      </c>
      <c r="B148" s="45" t="s">
        <v>79</v>
      </c>
      <c r="C148" s="92">
        <v>1</v>
      </c>
      <c r="D148" s="93" t="s">
        <v>13</v>
      </c>
      <c r="E148" s="92"/>
      <c r="F148" s="78">
        <f t="shared" si="4"/>
        <v>175</v>
      </c>
      <c r="G148" s="78">
        <f t="shared" si="5"/>
        <v>146</v>
      </c>
      <c r="H148" s="79" t="s">
        <v>14</v>
      </c>
      <c r="I148" s="100" t="s">
        <v>343</v>
      </c>
      <c r="J148" s="81" t="s">
        <v>36</v>
      </c>
      <c r="K148" s="96"/>
      <c r="L148" s="83"/>
    </row>
    <row r="149" customHeight="1" spans="1:12">
      <c r="A149" s="84" t="s">
        <v>344</v>
      </c>
      <c r="B149" s="17" t="s">
        <v>79</v>
      </c>
      <c r="C149" s="85">
        <v>1</v>
      </c>
      <c r="D149" s="86" t="s">
        <v>13</v>
      </c>
      <c r="E149" s="85"/>
      <c r="F149" s="69">
        <f t="shared" si="4"/>
        <v>176</v>
      </c>
      <c r="G149" s="69">
        <f t="shared" si="5"/>
        <v>147</v>
      </c>
      <c r="H149" s="73" t="s">
        <v>14</v>
      </c>
      <c r="I149" s="87" t="s">
        <v>345</v>
      </c>
      <c r="J149" s="64"/>
      <c r="K149" s="103"/>
      <c r="L149" s="66" t="s">
        <v>346</v>
      </c>
    </row>
    <row r="150" customHeight="1" spans="1:12">
      <c r="A150" s="84" t="s">
        <v>347</v>
      </c>
      <c r="B150" s="17" t="s">
        <v>79</v>
      </c>
      <c r="C150" s="85">
        <v>1</v>
      </c>
      <c r="D150" s="86" t="s">
        <v>13</v>
      </c>
      <c r="E150" s="85"/>
      <c r="F150" s="69">
        <f t="shared" si="4"/>
        <v>177</v>
      </c>
      <c r="G150" s="69">
        <f t="shared" si="5"/>
        <v>148</v>
      </c>
      <c r="H150" s="73" t="s">
        <v>14</v>
      </c>
      <c r="I150" s="87" t="s">
        <v>348</v>
      </c>
      <c r="J150" s="64"/>
      <c r="K150" s="65"/>
      <c r="L150" s="72"/>
    </row>
    <row r="151" customHeight="1" spans="1:12">
      <c r="A151" s="84" t="s">
        <v>349</v>
      </c>
      <c r="B151" s="17" t="s">
        <v>79</v>
      </c>
      <c r="C151" s="85">
        <v>1</v>
      </c>
      <c r="D151" s="86" t="s">
        <v>13</v>
      </c>
      <c r="E151" s="85"/>
      <c r="F151" s="69">
        <f t="shared" si="4"/>
        <v>178</v>
      </c>
      <c r="G151" s="69">
        <f t="shared" si="5"/>
        <v>149</v>
      </c>
      <c r="H151" s="73" t="s">
        <v>14</v>
      </c>
      <c r="I151" s="87" t="s">
        <v>350</v>
      </c>
      <c r="J151" s="64"/>
      <c r="K151" s="65"/>
      <c r="L151" s="72"/>
    </row>
    <row r="152" customHeight="1" spans="1:12">
      <c r="A152" s="99" t="s">
        <v>351</v>
      </c>
      <c r="B152" s="45" t="s">
        <v>352</v>
      </c>
      <c r="C152" s="92">
        <v>1</v>
      </c>
      <c r="D152" s="93" t="s">
        <v>13</v>
      </c>
      <c r="E152" s="92"/>
      <c r="F152" s="78">
        <f t="shared" si="4"/>
        <v>179</v>
      </c>
      <c r="G152" s="78">
        <f t="shared" si="5"/>
        <v>150</v>
      </c>
      <c r="H152" s="79" t="s">
        <v>14</v>
      </c>
      <c r="I152" s="95" t="s">
        <v>353</v>
      </c>
      <c r="J152" s="81" t="s">
        <v>36</v>
      </c>
      <c r="K152" s="96"/>
      <c r="L152" s="83"/>
    </row>
    <row r="153" s="44" customFormat="1" ht="17.25" customHeight="1" spans="1:12">
      <c r="A153" s="88" t="s">
        <v>354</v>
      </c>
      <c r="B153" s="17" t="s">
        <v>79</v>
      </c>
      <c r="C153" s="50">
        <v>1</v>
      </c>
      <c r="D153" s="89" t="s">
        <v>13</v>
      </c>
      <c r="E153" s="50"/>
      <c r="F153" s="69">
        <f t="shared" si="4"/>
        <v>180</v>
      </c>
      <c r="G153" s="69">
        <f t="shared" si="5"/>
        <v>151</v>
      </c>
      <c r="H153" s="73" t="s">
        <v>14</v>
      </c>
      <c r="I153" s="104" t="s">
        <v>355</v>
      </c>
      <c r="J153" s="64" t="s">
        <v>36</v>
      </c>
      <c r="K153" s="103"/>
      <c r="L153" s="66" t="s">
        <v>356</v>
      </c>
    </row>
    <row r="154" s="44" customFormat="1" ht="21.75" customHeight="1" spans="1:12">
      <c r="A154" s="105" t="s">
        <v>357</v>
      </c>
      <c r="B154" s="106" t="s">
        <v>25</v>
      </c>
      <c r="C154" s="107">
        <v>3</v>
      </c>
      <c r="D154" s="108" t="s">
        <v>26</v>
      </c>
      <c r="E154" s="107"/>
      <c r="F154" s="78">
        <f t="shared" si="4"/>
        <v>181</v>
      </c>
      <c r="G154" s="78">
        <f t="shared" si="5"/>
        <v>152</v>
      </c>
      <c r="H154" s="79" t="s">
        <v>27</v>
      </c>
      <c r="I154" s="109" t="s">
        <v>358</v>
      </c>
      <c r="J154" s="81" t="s">
        <v>36</v>
      </c>
      <c r="K154" s="96"/>
      <c r="L154" s="83"/>
    </row>
    <row r="155" customHeight="1" spans="1:12">
      <c r="A155" s="110" t="s">
        <v>359</v>
      </c>
      <c r="B155" s="43" t="s">
        <v>360</v>
      </c>
      <c r="C155" s="46">
        <v>1</v>
      </c>
      <c r="D155" s="68" t="s">
        <v>13</v>
      </c>
      <c r="E155" s="46"/>
      <c r="F155" s="69">
        <f t="shared" si="4"/>
        <v>184</v>
      </c>
      <c r="G155" s="69">
        <f t="shared" si="5"/>
        <v>153</v>
      </c>
      <c r="H155" s="73" t="s">
        <v>14</v>
      </c>
      <c r="I155" s="70" t="s">
        <v>361</v>
      </c>
      <c r="J155" s="64"/>
      <c r="K155" s="103"/>
      <c r="L155" s="66" t="s">
        <v>362</v>
      </c>
    </row>
    <row r="156" customHeight="1" spans="1:12">
      <c r="A156" s="110" t="s">
        <v>363</v>
      </c>
      <c r="B156" s="43" t="s">
        <v>364</v>
      </c>
      <c r="C156" s="46">
        <v>1</v>
      </c>
      <c r="D156" s="68" t="s">
        <v>13</v>
      </c>
      <c r="E156" s="46"/>
      <c r="F156" s="69">
        <f t="shared" si="4"/>
        <v>185</v>
      </c>
      <c r="G156" s="69">
        <f t="shared" si="5"/>
        <v>154</v>
      </c>
      <c r="H156" s="73" t="s">
        <v>14</v>
      </c>
      <c r="I156" s="70" t="s">
        <v>365</v>
      </c>
      <c r="J156" s="64" t="s">
        <v>36</v>
      </c>
      <c r="K156" s="65"/>
      <c r="L156" s="72"/>
    </row>
    <row r="157" customHeight="1" spans="1:12">
      <c r="A157" s="110" t="s">
        <v>366</v>
      </c>
      <c r="B157" s="43" t="s">
        <v>367</v>
      </c>
      <c r="C157" s="46">
        <v>1</v>
      </c>
      <c r="D157" s="68" t="s">
        <v>13</v>
      </c>
      <c r="E157" s="85"/>
      <c r="F157" s="69">
        <f t="shared" si="4"/>
        <v>186</v>
      </c>
      <c r="G157" s="69">
        <f t="shared" si="5"/>
        <v>155</v>
      </c>
      <c r="H157" s="73" t="s">
        <v>14</v>
      </c>
      <c r="I157" s="87" t="s">
        <v>368</v>
      </c>
      <c r="J157" s="64"/>
      <c r="K157" s="65"/>
      <c r="L157" s="72"/>
    </row>
    <row r="158" customHeight="1" spans="1:12">
      <c r="A158" s="101" t="s">
        <v>369</v>
      </c>
      <c r="B158" s="111" t="s">
        <v>370</v>
      </c>
      <c r="C158" s="85">
        <v>1</v>
      </c>
      <c r="D158" s="68" t="s">
        <v>13</v>
      </c>
      <c r="E158" s="85"/>
      <c r="F158" s="69">
        <f t="shared" si="4"/>
        <v>187</v>
      </c>
      <c r="G158" s="69">
        <f t="shared" si="5"/>
        <v>156</v>
      </c>
      <c r="H158" s="73" t="s">
        <v>14</v>
      </c>
      <c r="I158" s="87" t="s">
        <v>371</v>
      </c>
      <c r="J158" s="64" t="s">
        <v>36</v>
      </c>
      <c r="K158" s="65"/>
      <c r="L158" s="72"/>
    </row>
    <row r="159" customHeight="1" spans="1:12">
      <c r="A159" s="101" t="s">
        <v>372</v>
      </c>
      <c r="B159" s="111" t="s">
        <v>370</v>
      </c>
      <c r="C159" s="85">
        <v>1</v>
      </c>
      <c r="D159" s="68" t="s">
        <v>13</v>
      </c>
      <c r="E159" s="85"/>
      <c r="F159" s="69">
        <f t="shared" si="4"/>
        <v>188</v>
      </c>
      <c r="G159" s="69">
        <f t="shared" si="5"/>
        <v>157</v>
      </c>
      <c r="H159" s="73" t="s">
        <v>14</v>
      </c>
      <c r="I159" s="87" t="s">
        <v>373</v>
      </c>
      <c r="J159" s="64" t="s">
        <v>36</v>
      </c>
      <c r="K159" s="65"/>
      <c r="L159" s="72"/>
    </row>
    <row r="160" customHeight="1" spans="1:12">
      <c r="A160" s="101" t="s">
        <v>374</v>
      </c>
      <c r="B160" s="111" t="s">
        <v>370</v>
      </c>
      <c r="C160" s="85">
        <v>1</v>
      </c>
      <c r="D160" s="68" t="s">
        <v>13</v>
      </c>
      <c r="E160" s="85"/>
      <c r="F160" s="69">
        <f t="shared" si="4"/>
        <v>189</v>
      </c>
      <c r="G160" s="69">
        <f t="shared" si="5"/>
        <v>158</v>
      </c>
      <c r="H160" s="73" t="s">
        <v>14</v>
      </c>
      <c r="I160" s="87" t="s">
        <v>375</v>
      </c>
      <c r="J160" s="64"/>
      <c r="K160" s="65"/>
      <c r="L160" s="72"/>
    </row>
    <row r="161" customHeight="1" spans="1:12">
      <c r="A161" s="21" t="s">
        <v>376</v>
      </c>
      <c r="B161" s="111" t="s">
        <v>370</v>
      </c>
      <c r="C161" s="85">
        <v>1</v>
      </c>
      <c r="D161" s="68" t="s">
        <v>13</v>
      </c>
      <c r="E161" s="85"/>
      <c r="F161" s="69">
        <f t="shared" si="4"/>
        <v>190</v>
      </c>
      <c r="G161" s="69">
        <f t="shared" si="5"/>
        <v>159</v>
      </c>
      <c r="H161" s="73" t="s">
        <v>14</v>
      </c>
      <c r="I161" s="112" t="s">
        <v>377</v>
      </c>
      <c r="J161" s="64"/>
      <c r="L161" s="72"/>
    </row>
    <row r="162" customHeight="1" spans="1:12">
      <c r="A162" s="21" t="s">
        <v>378</v>
      </c>
      <c r="B162" s="111" t="s">
        <v>370</v>
      </c>
      <c r="C162" s="85">
        <v>1</v>
      </c>
      <c r="D162" s="68" t="s">
        <v>13</v>
      </c>
      <c r="E162" s="85"/>
      <c r="F162" s="69">
        <f t="shared" si="4"/>
        <v>191</v>
      </c>
      <c r="G162" s="69">
        <f t="shared" si="5"/>
        <v>160</v>
      </c>
      <c r="H162" s="73" t="s">
        <v>14</v>
      </c>
      <c r="I162" s="22" t="s">
        <v>379</v>
      </c>
      <c r="J162" s="64"/>
      <c r="K162" s="65"/>
      <c r="L162" s="72"/>
    </row>
    <row r="163" customHeight="1" spans="1:12">
      <c r="A163" s="113" t="s">
        <v>380</v>
      </c>
      <c r="B163" s="114" t="s">
        <v>370</v>
      </c>
      <c r="C163" s="92">
        <v>1</v>
      </c>
      <c r="D163" s="77" t="s">
        <v>13</v>
      </c>
      <c r="E163" s="92"/>
      <c r="F163" s="78">
        <f t="shared" si="4"/>
        <v>192</v>
      </c>
      <c r="G163" s="78">
        <f t="shared" si="5"/>
        <v>161</v>
      </c>
      <c r="H163" s="79" t="s">
        <v>14</v>
      </c>
      <c r="I163" s="115" t="s">
        <v>381</v>
      </c>
      <c r="J163" s="81" t="s">
        <v>36</v>
      </c>
      <c r="K163" s="65"/>
      <c r="L163" s="83"/>
    </row>
    <row r="164" customHeight="1" spans="1:12">
      <c r="A164" s="21" t="s">
        <v>382</v>
      </c>
      <c r="B164" s="111" t="s">
        <v>383</v>
      </c>
      <c r="C164" s="85">
        <v>1</v>
      </c>
      <c r="D164" s="68" t="s">
        <v>13</v>
      </c>
      <c r="E164" s="85"/>
      <c r="F164" s="69">
        <f t="shared" si="4"/>
        <v>193</v>
      </c>
      <c r="G164" s="69">
        <f t="shared" si="5"/>
        <v>162</v>
      </c>
      <c r="H164" s="73" t="s">
        <v>14</v>
      </c>
      <c r="I164" s="87" t="s">
        <v>384</v>
      </c>
      <c r="J164" s="64" t="s">
        <v>36</v>
      </c>
      <c r="K164" s="103"/>
      <c r="L164" s="66" t="s">
        <v>385</v>
      </c>
    </row>
    <row r="165" customHeight="1" spans="1:12">
      <c r="A165" s="84" t="s">
        <v>386</v>
      </c>
      <c r="B165" s="111" t="s">
        <v>383</v>
      </c>
      <c r="C165" s="85">
        <v>1</v>
      </c>
      <c r="D165" s="68" t="s">
        <v>13</v>
      </c>
      <c r="E165" s="85"/>
      <c r="F165" s="69">
        <f t="shared" si="4"/>
        <v>194</v>
      </c>
      <c r="G165" s="69">
        <f t="shared" si="5"/>
        <v>163</v>
      </c>
      <c r="H165" s="73" t="s">
        <v>14</v>
      </c>
      <c r="I165" s="87" t="s">
        <v>387</v>
      </c>
      <c r="J165" s="64" t="s">
        <v>36</v>
      </c>
      <c r="K165" s="65"/>
      <c r="L165" s="72"/>
    </row>
    <row r="166" customHeight="1" spans="1:12">
      <c r="A166" s="84" t="s">
        <v>388</v>
      </c>
      <c r="B166" s="111" t="s">
        <v>383</v>
      </c>
      <c r="C166" s="85">
        <v>1</v>
      </c>
      <c r="D166" s="68" t="s">
        <v>13</v>
      </c>
      <c r="E166" s="85"/>
      <c r="F166" s="69">
        <f t="shared" si="4"/>
        <v>195</v>
      </c>
      <c r="G166" s="69">
        <f t="shared" si="5"/>
        <v>164</v>
      </c>
      <c r="H166" s="73" t="s">
        <v>14</v>
      </c>
      <c r="I166" s="87" t="s">
        <v>389</v>
      </c>
      <c r="J166" s="64" t="s">
        <v>36</v>
      </c>
      <c r="K166" s="65"/>
      <c r="L166" s="72"/>
    </row>
    <row r="167" customHeight="1" spans="1:12">
      <c r="A167" s="84" t="s">
        <v>390</v>
      </c>
      <c r="B167" s="111" t="s">
        <v>383</v>
      </c>
      <c r="C167" s="85">
        <v>1</v>
      </c>
      <c r="D167" s="68" t="s">
        <v>13</v>
      </c>
      <c r="E167" s="85"/>
      <c r="F167" s="69">
        <f t="shared" si="4"/>
        <v>196</v>
      </c>
      <c r="G167" s="69">
        <f t="shared" si="5"/>
        <v>165</v>
      </c>
      <c r="H167" s="73" t="s">
        <v>14</v>
      </c>
      <c r="I167" s="87" t="s">
        <v>391</v>
      </c>
      <c r="J167" s="64" t="s">
        <v>36</v>
      </c>
      <c r="K167" s="65"/>
      <c r="L167" s="72"/>
    </row>
    <row r="168" customHeight="1" spans="1:12">
      <c r="A168" s="84" t="s">
        <v>392</v>
      </c>
      <c r="B168" s="111" t="s">
        <v>383</v>
      </c>
      <c r="C168" s="85">
        <v>1</v>
      </c>
      <c r="D168" s="68" t="s">
        <v>13</v>
      </c>
      <c r="E168" s="85"/>
      <c r="F168" s="69">
        <f t="shared" si="4"/>
        <v>197</v>
      </c>
      <c r="G168" s="69">
        <f t="shared" si="5"/>
        <v>166</v>
      </c>
      <c r="H168" s="73" t="s">
        <v>14</v>
      </c>
      <c r="I168" s="87" t="s">
        <v>393</v>
      </c>
      <c r="J168" s="64" t="s">
        <v>36</v>
      </c>
      <c r="K168" s="65"/>
      <c r="L168" s="72"/>
    </row>
    <row r="169" customHeight="1" spans="1:12">
      <c r="A169" s="84" t="s">
        <v>394</v>
      </c>
      <c r="B169" s="43" t="s">
        <v>395</v>
      </c>
      <c r="C169" s="85">
        <v>1</v>
      </c>
      <c r="D169" s="86" t="s">
        <v>13</v>
      </c>
      <c r="E169" s="85"/>
      <c r="F169" s="69">
        <f t="shared" si="4"/>
        <v>198</v>
      </c>
      <c r="G169" s="69">
        <f t="shared" si="5"/>
        <v>167</v>
      </c>
      <c r="H169" s="73" t="s">
        <v>14</v>
      </c>
      <c r="I169" s="87" t="s">
        <v>396</v>
      </c>
      <c r="J169" s="64" t="s">
        <v>36</v>
      </c>
      <c r="K169" s="65"/>
      <c r="L169" s="72"/>
    </row>
    <row r="170" customHeight="1" spans="1:12">
      <c r="A170" s="84" t="s">
        <v>397</v>
      </c>
      <c r="B170" s="43" t="s">
        <v>395</v>
      </c>
      <c r="C170" s="85">
        <v>1</v>
      </c>
      <c r="D170" s="86" t="s">
        <v>13</v>
      </c>
      <c r="E170" s="85"/>
      <c r="F170" s="69">
        <f t="shared" si="4"/>
        <v>199</v>
      </c>
      <c r="G170" s="69">
        <f t="shared" si="5"/>
        <v>168</v>
      </c>
      <c r="H170" s="73" t="s">
        <v>14</v>
      </c>
      <c r="I170" s="87" t="s">
        <v>398</v>
      </c>
      <c r="J170" s="64" t="s">
        <v>36</v>
      </c>
      <c r="K170" s="65"/>
      <c r="L170" s="72"/>
    </row>
    <row r="171" customHeight="1" spans="1:12">
      <c r="A171" s="84" t="s">
        <v>399</v>
      </c>
      <c r="B171" s="111" t="s">
        <v>370</v>
      </c>
      <c r="C171" s="85">
        <v>1</v>
      </c>
      <c r="D171" s="86" t="s">
        <v>13</v>
      </c>
      <c r="E171" s="85"/>
      <c r="F171" s="69">
        <f t="shared" si="4"/>
        <v>200</v>
      </c>
      <c r="G171" s="69">
        <f t="shared" si="5"/>
        <v>169</v>
      </c>
      <c r="H171" s="73" t="s">
        <v>14</v>
      </c>
      <c r="I171" s="98" t="s">
        <v>400</v>
      </c>
      <c r="J171" s="64" t="s">
        <v>36</v>
      </c>
      <c r="K171" s="65"/>
      <c r="L171" s="72"/>
    </row>
    <row r="172" customHeight="1" spans="1:12">
      <c r="A172" s="84" t="s">
        <v>401</v>
      </c>
      <c r="B172" s="111" t="s">
        <v>370</v>
      </c>
      <c r="C172" s="85">
        <v>1</v>
      </c>
      <c r="D172" s="86" t="s">
        <v>13</v>
      </c>
      <c r="E172" s="85"/>
      <c r="F172" s="69">
        <f t="shared" si="4"/>
        <v>201</v>
      </c>
      <c r="G172" s="69">
        <f t="shared" si="5"/>
        <v>170</v>
      </c>
      <c r="H172" s="73" t="s">
        <v>14</v>
      </c>
      <c r="I172" s="98" t="s">
        <v>402</v>
      </c>
      <c r="J172" s="64" t="s">
        <v>36</v>
      </c>
      <c r="K172" s="65"/>
      <c r="L172" s="72"/>
    </row>
    <row r="173" customHeight="1" spans="1:12">
      <c r="A173" s="84" t="s">
        <v>403</v>
      </c>
      <c r="B173" s="111" t="s">
        <v>370</v>
      </c>
      <c r="C173" s="85">
        <v>1</v>
      </c>
      <c r="D173" s="86" t="s">
        <v>13</v>
      </c>
      <c r="E173" s="85"/>
      <c r="F173" s="69">
        <f t="shared" si="4"/>
        <v>202</v>
      </c>
      <c r="G173" s="69">
        <f t="shared" si="5"/>
        <v>171</v>
      </c>
      <c r="H173" s="73" t="s">
        <v>14</v>
      </c>
      <c r="I173" s="98" t="s">
        <v>404</v>
      </c>
      <c r="J173" s="64" t="s">
        <v>36</v>
      </c>
      <c r="K173" s="65"/>
      <c r="L173" s="72"/>
    </row>
    <row r="174" customHeight="1" spans="1:12">
      <c r="A174" s="84" t="s">
        <v>405</v>
      </c>
      <c r="B174" s="111" t="s">
        <v>370</v>
      </c>
      <c r="C174" s="85">
        <v>1</v>
      </c>
      <c r="D174" s="86" t="s">
        <v>13</v>
      </c>
      <c r="E174" s="85"/>
      <c r="F174" s="69">
        <f t="shared" si="4"/>
        <v>203</v>
      </c>
      <c r="G174" s="69">
        <f t="shared" si="5"/>
        <v>172</v>
      </c>
      <c r="H174" s="73" t="s">
        <v>14</v>
      </c>
      <c r="I174" s="98" t="s">
        <v>406</v>
      </c>
      <c r="J174" s="64" t="s">
        <v>36</v>
      </c>
      <c r="K174" s="65"/>
      <c r="L174" s="72"/>
    </row>
    <row r="175" customHeight="1" spans="1:12">
      <c r="A175" s="84" t="s">
        <v>407</v>
      </c>
      <c r="B175" s="111" t="s">
        <v>370</v>
      </c>
      <c r="C175" s="85">
        <v>1</v>
      </c>
      <c r="D175" s="86" t="s">
        <v>13</v>
      </c>
      <c r="E175" s="85"/>
      <c r="F175" s="69">
        <f t="shared" si="4"/>
        <v>204</v>
      </c>
      <c r="G175" s="69">
        <f t="shared" si="5"/>
        <v>173</v>
      </c>
      <c r="H175" s="73" t="s">
        <v>14</v>
      </c>
      <c r="I175" s="98" t="s">
        <v>408</v>
      </c>
      <c r="J175" s="64" t="s">
        <v>36</v>
      </c>
      <c r="K175" s="65"/>
      <c r="L175" s="72"/>
    </row>
    <row r="176" customHeight="1" spans="1:12">
      <c r="A176" s="84" t="s">
        <v>409</v>
      </c>
      <c r="B176" s="111" t="s">
        <v>370</v>
      </c>
      <c r="C176" s="85">
        <v>1</v>
      </c>
      <c r="D176" s="86" t="s">
        <v>13</v>
      </c>
      <c r="E176" s="85"/>
      <c r="F176" s="69">
        <f t="shared" si="4"/>
        <v>205</v>
      </c>
      <c r="G176" s="69">
        <f t="shared" si="5"/>
        <v>174</v>
      </c>
      <c r="H176" s="73" t="s">
        <v>14</v>
      </c>
      <c r="I176" s="98" t="s">
        <v>410</v>
      </c>
      <c r="J176" s="64" t="s">
        <v>36</v>
      </c>
      <c r="K176" s="65"/>
      <c r="L176" s="72"/>
    </row>
    <row r="177" customHeight="1" spans="1:12">
      <c r="A177" s="84" t="s">
        <v>411</v>
      </c>
      <c r="B177" s="111" t="s">
        <v>370</v>
      </c>
      <c r="C177" s="85">
        <v>1</v>
      </c>
      <c r="D177" s="86" t="s">
        <v>13</v>
      </c>
      <c r="E177" s="85"/>
      <c r="F177" s="69">
        <f t="shared" si="4"/>
        <v>206</v>
      </c>
      <c r="G177" s="69">
        <f t="shared" si="5"/>
        <v>175</v>
      </c>
      <c r="H177" s="73" t="s">
        <v>14</v>
      </c>
      <c r="I177" s="98" t="s">
        <v>412</v>
      </c>
      <c r="J177" s="64" t="s">
        <v>36</v>
      </c>
      <c r="K177" s="65"/>
      <c r="L177" s="72"/>
    </row>
    <row r="178" customHeight="1" spans="1:12">
      <c r="A178" s="84" t="s">
        <v>413</v>
      </c>
      <c r="B178" s="43" t="s">
        <v>395</v>
      </c>
      <c r="C178" s="85">
        <v>1</v>
      </c>
      <c r="D178" s="86" t="s">
        <v>13</v>
      </c>
      <c r="E178" s="85"/>
      <c r="F178" s="69">
        <f t="shared" si="4"/>
        <v>207</v>
      </c>
      <c r="G178" s="69">
        <f t="shared" si="5"/>
        <v>176</v>
      </c>
      <c r="H178" s="73" t="s">
        <v>14</v>
      </c>
      <c r="I178" s="87" t="s">
        <v>396</v>
      </c>
      <c r="J178" s="64" t="s">
        <v>36</v>
      </c>
      <c r="K178" s="65"/>
      <c r="L178" s="72"/>
    </row>
    <row r="179" customHeight="1" spans="1:12">
      <c r="A179" s="84" t="s">
        <v>414</v>
      </c>
      <c r="B179" s="43" t="s">
        <v>395</v>
      </c>
      <c r="C179" s="85">
        <v>1</v>
      </c>
      <c r="D179" s="86" t="s">
        <v>13</v>
      </c>
      <c r="E179" s="85"/>
      <c r="F179" s="69">
        <f t="shared" si="4"/>
        <v>208</v>
      </c>
      <c r="G179" s="69">
        <f t="shared" si="5"/>
        <v>177</v>
      </c>
      <c r="H179" s="73" t="s">
        <v>14</v>
      </c>
      <c r="I179" s="87" t="s">
        <v>398</v>
      </c>
      <c r="J179" s="64" t="s">
        <v>36</v>
      </c>
      <c r="K179" s="65"/>
      <c r="L179" s="72"/>
    </row>
    <row r="180" customHeight="1" spans="1:12">
      <c r="A180" s="84" t="s">
        <v>415</v>
      </c>
      <c r="B180" s="17" t="s">
        <v>416</v>
      </c>
      <c r="C180" s="85">
        <v>1</v>
      </c>
      <c r="D180" s="86" t="s">
        <v>13</v>
      </c>
      <c r="E180" s="85"/>
      <c r="F180" s="69">
        <f t="shared" si="4"/>
        <v>209</v>
      </c>
      <c r="G180" s="69">
        <f t="shared" si="5"/>
        <v>178</v>
      </c>
      <c r="H180" s="73" t="s">
        <v>14</v>
      </c>
      <c r="I180" s="87" t="s">
        <v>417</v>
      </c>
      <c r="J180" s="64"/>
      <c r="K180" s="65"/>
      <c r="L180" s="72"/>
    </row>
    <row r="181" customHeight="1" spans="1:12">
      <c r="A181" s="99" t="s">
        <v>418</v>
      </c>
      <c r="B181" s="45" t="s">
        <v>419</v>
      </c>
      <c r="C181" s="92">
        <v>1</v>
      </c>
      <c r="D181" s="93" t="s">
        <v>13</v>
      </c>
      <c r="E181" s="92"/>
      <c r="F181" s="69">
        <f t="shared" si="4"/>
        <v>210</v>
      </c>
      <c r="G181" s="69">
        <f t="shared" si="5"/>
        <v>179</v>
      </c>
      <c r="H181" s="79" t="s">
        <v>14</v>
      </c>
      <c r="I181" s="95" t="s">
        <v>420</v>
      </c>
      <c r="J181" s="81"/>
      <c r="K181" s="96"/>
      <c r="L181" s="83"/>
    </row>
    <row r="182" ht="26.25" customHeight="1" spans="1:12">
      <c r="A182" s="84" t="s">
        <v>421</v>
      </c>
      <c r="B182" s="17" t="s">
        <v>422</v>
      </c>
      <c r="C182" s="85">
        <v>1</v>
      </c>
      <c r="D182" s="86" t="s">
        <v>26</v>
      </c>
      <c r="E182" s="85"/>
      <c r="F182" s="116">
        <f t="shared" si="4"/>
        <v>211</v>
      </c>
      <c r="G182" s="116">
        <f t="shared" si="5"/>
        <v>180</v>
      </c>
      <c r="H182" s="73" t="s">
        <v>14</v>
      </c>
      <c r="I182" s="87" t="s">
        <v>423</v>
      </c>
      <c r="J182" s="64" t="s">
        <v>36</v>
      </c>
      <c r="K182" s="84"/>
      <c r="L182" s="66" t="s">
        <v>424</v>
      </c>
    </row>
    <row r="183" s="45" customFormat="1" ht="27" customHeight="1" spans="1:12">
      <c r="A183" s="99" t="s">
        <v>425</v>
      </c>
      <c r="B183" s="45" t="s">
        <v>426</v>
      </c>
      <c r="C183" s="92">
        <v>1</v>
      </c>
      <c r="D183" s="93" t="s">
        <v>26</v>
      </c>
      <c r="E183" s="92"/>
      <c r="F183" s="78">
        <f t="shared" si="4"/>
        <v>212</v>
      </c>
      <c r="G183" s="78">
        <f t="shared" si="5"/>
        <v>181</v>
      </c>
      <c r="H183" s="79" t="s">
        <v>14</v>
      </c>
      <c r="I183" s="95" t="s">
        <v>427</v>
      </c>
      <c r="J183" s="81" t="s">
        <v>36</v>
      </c>
      <c r="K183" s="99"/>
      <c r="L183" s="83"/>
    </row>
    <row r="184" customHeight="1" spans="1:12">
      <c r="A184" s="84" t="s">
        <v>428</v>
      </c>
      <c r="B184" s="17" t="s">
        <v>429</v>
      </c>
      <c r="C184" s="85">
        <v>1</v>
      </c>
      <c r="D184" s="86" t="s">
        <v>13</v>
      </c>
      <c r="E184" s="85"/>
      <c r="F184" s="69">
        <f t="shared" si="4"/>
        <v>213</v>
      </c>
      <c r="G184" s="69">
        <f t="shared" si="5"/>
        <v>182</v>
      </c>
      <c r="H184" s="73" t="s">
        <v>14</v>
      </c>
      <c r="I184" s="70" t="s">
        <v>430</v>
      </c>
      <c r="J184" s="64"/>
      <c r="K184" s="65"/>
      <c r="L184" s="66" t="s">
        <v>431</v>
      </c>
    </row>
    <row r="185" s="46" customFormat="1" customHeight="1" spans="1:12">
      <c r="A185" s="110" t="s">
        <v>432</v>
      </c>
      <c r="B185" s="117" t="s">
        <v>63</v>
      </c>
      <c r="C185" s="46">
        <v>2</v>
      </c>
      <c r="D185" s="68" t="s">
        <v>26</v>
      </c>
      <c r="F185" s="69">
        <f t="shared" si="4"/>
        <v>214</v>
      </c>
      <c r="G185" s="69">
        <f t="shared" si="5"/>
        <v>183</v>
      </c>
      <c r="H185" s="73" t="s">
        <v>27</v>
      </c>
      <c r="I185" s="70" t="s">
        <v>433</v>
      </c>
      <c r="J185" s="64" t="s">
        <v>36</v>
      </c>
      <c r="K185" s="118"/>
      <c r="L185" s="72"/>
    </row>
    <row r="186" s="46" customFormat="1" customHeight="1" spans="1:12">
      <c r="A186" s="110" t="s">
        <v>434</v>
      </c>
      <c r="B186" s="111" t="s">
        <v>435</v>
      </c>
      <c r="C186" s="46">
        <v>1</v>
      </c>
      <c r="D186" s="68" t="s">
        <v>13</v>
      </c>
      <c r="F186" s="69">
        <f t="shared" si="4"/>
        <v>216</v>
      </c>
      <c r="G186" s="69">
        <f t="shared" si="5"/>
        <v>184</v>
      </c>
      <c r="H186" s="73" t="s">
        <v>14</v>
      </c>
      <c r="I186" s="70" t="s">
        <v>436</v>
      </c>
      <c r="J186" s="64"/>
      <c r="K186" s="118"/>
      <c r="L186" s="72"/>
    </row>
    <row r="187" s="46" customFormat="1" customHeight="1" spans="1:12">
      <c r="A187" s="110" t="s">
        <v>437</v>
      </c>
      <c r="B187" s="117" t="s">
        <v>63</v>
      </c>
      <c r="C187" s="46">
        <v>2</v>
      </c>
      <c r="D187" s="68" t="s">
        <v>26</v>
      </c>
      <c r="F187" s="69">
        <f t="shared" si="4"/>
        <v>217</v>
      </c>
      <c r="G187" s="69">
        <f t="shared" si="5"/>
        <v>185</v>
      </c>
      <c r="H187" s="73" t="s">
        <v>27</v>
      </c>
      <c r="I187" s="70" t="s">
        <v>438</v>
      </c>
      <c r="J187" s="64" t="s">
        <v>36</v>
      </c>
      <c r="K187" s="118"/>
      <c r="L187" s="72"/>
    </row>
    <row r="188" s="46" customFormat="1" customHeight="1" spans="1:12">
      <c r="A188" s="110" t="s">
        <v>439</v>
      </c>
      <c r="B188" s="111" t="s">
        <v>440</v>
      </c>
      <c r="C188" s="46">
        <v>1</v>
      </c>
      <c r="D188" s="68" t="s">
        <v>13</v>
      </c>
      <c r="F188" s="69">
        <f t="shared" si="4"/>
        <v>219</v>
      </c>
      <c r="G188" s="69">
        <f t="shared" si="5"/>
        <v>186</v>
      </c>
      <c r="H188" s="73" t="s">
        <v>14</v>
      </c>
      <c r="I188" s="70" t="s">
        <v>441</v>
      </c>
      <c r="J188" s="64" t="s">
        <v>36</v>
      </c>
      <c r="K188" s="118"/>
      <c r="L188" s="72"/>
    </row>
    <row r="189" s="46" customFormat="1" customHeight="1" spans="1:12">
      <c r="A189" s="110" t="s">
        <v>442</v>
      </c>
      <c r="B189" s="111" t="s">
        <v>443</v>
      </c>
      <c r="C189" s="46">
        <v>2</v>
      </c>
      <c r="D189" s="68" t="s">
        <v>13</v>
      </c>
      <c r="F189" s="69">
        <f t="shared" si="4"/>
        <v>220</v>
      </c>
      <c r="G189" s="69">
        <f t="shared" si="5"/>
        <v>187</v>
      </c>
      <c r="H189" s="73" t="s">
        <v>14</v>
      </c>
      <c r="I189" s="70" t="s">
        <v>444</v>
      </c>
      <c r="J189" s="64" t="s">
        <v>36</v>
      </c>
      <c r="K189" s="118"/>
      <c r="L189" s="72"/>
    </row>
    <row r="190" s="46" customFormat="1" customHeight="1" spans="1:12">
      <c r="A190" s="110" t="s">
        <v>445</v>
      </c>
      <c r="B190" s="111" t="s">
        <v>446</v>
      </c>
      <c r="C190" s="46">
        <v>1</v>
      </c>
      <c r="D190" s="68" t="s">
        <v>13</v>
      </c>
      <c r="F190" s="69">
        <f t="shared" si="4"/>
        <v>222</v>
      </c>
      <c r="G190" s="69">
        <f t="shared" si="5"/>
        <v>188</v>
      </c>
      <c r="H190" s="73" t="s">
        <v>14</v>
      </c>
      <c r="I190" s="70" t="s">
        <v>447</v>
      </c>
      <c r="J190" s="64" t="s">
        <v>36</v>
      </c>
      <c r="K190" s="118"/>
      <c r="L190" s="72"/>
    </row>
    <row r="191" customHeight="1" spans="1:12">
      <c r="A191" s="84" t="s">
        <v>448</v>
      </c>
      <c r="B191" s="111" t="s">
        <v>449</v>
      </c>
      <c r="C191" s="85">
        <v>1</v>
      </c>
      <c r="D191" s="86" t="s">
        <v>13</v>
      </c>
      <c r="E191" s="85"/>
      <c r="F191" s="69">
        <f t="shared" si="4"/>
        <v>223</v>
      </c>
      <c r="G191" s="69">
        <f t="shared" si="5"/>
        <v>189</v>
      </c>
      <c r="H191" s="73" t="s">
        <v>14</v>
      </c>
      <c r="I191" s="87" t="s">
        <v>450</v>
      </c>
      <c r="J191" s="64" t="s">
        <v>36</v>
      </c>
      <c r="K191" s="65"/>
      <c r="L191" s="72"/>
    </row>
    <row r="192" customHeight="1" spans="1:12">
      <c r="A192" s="84" t="s">
        <v>451</v>
      </c>
      <c r="B192" s="17" t="s">
        <v>79</v>
      </c>
      <c r="C192" s="85">
        <v>1</v>
      </c>
      <c r="D192" s="86" t="s">
        <v>13</v>
      </c>
      <c r="E192" s="85"/>
      <c r="F192" s="69">
        <f t="shared" si="4"/>
        <v>224</v>
      </c>
      <c r="G192" s="69">
        <f t="shared" si="5"/>
        <v>190</v>
      </c>
      <c r="H192" s="73" t="s">
        <v>14</v>
      </c>
      <c r="I192" s="87" t="s">
        <v>452</v>
      </c>
      <c r="J192" s="64"/>
      <c r="K192" s="65"/>
      <c r="L192" s="72"/>
    </row>
    <row r="193" customHeight="1" spans="1:12">
      <c r="A193" s="84" t="s">
        <v>453</v>
      </c>
      <c r="B193" s="17" t="s">
        <v>79</v>
      </c>
      <c r="C193" s="85">
        <v>1</v>
      </c>
      <c r="D193" s="86" t="s">
        <v>13</v>
      </c>
      <c r="E193" s="85"/>
      <c r="F193" s="69">
        <f t="shared" si="4"/>
        <v>225</v>
      </c>
      <c r="G193" s="69">
        <f t="shared" si="5"/>
        <v>191</v>
      </c>
      <c r="H193" s="73" t="s">
        <v>14</v>
      </c>
      <c r="I193" s="87" t="s">
        <v>454</v>
      </c>
      <c r="J193" s="64"/>
      <c r="K193" s="65"/>
      <c r="L193" s="72"/>
    </row>
    <row r="194" customHeight="1" spans="1:12">
      <c r="A194" s="84" t="s">
        <v>455</v>
      </c>
      <c r="B194" s="17" t="s">
        <v>79</v>
      </c>
      <c r="C194" s="85">
        <v>1</v>
      </c>
      <c r="D194" s="86" t="s">
        <v>13</v>
      </c>
      <c r="E194" s="85"/>
      <c r="F194" s="69">
        <f t="shared" si="4"/>
        <v>226</v>
      </c>
      <c r="G194" s="69">
        <f t="shared" si="5"/>
        <v>192</v>
      </c>
      <c r="H194" s="73" t="s">
        <v>14</v>
      </c>
      <c r="I194" s="87" t="s">
        <v>456</v>
      </c>
      <c r="J194" s="64"/>
      <c r="K194" s="65"/>
      <c r="L194" s="72"/>
    </row>
    <row r="195" customHeight="1" spans="1:12">
      <c r="A195" s="84" t="s">
        <v>457</v>
      </c>
      <c r="B195" s="17" t="s">
        <v>79</v>
      </c>
      <c r="C195" s="85">
        <v>1</v>
      </c>
      <c r="D195" s="86" t="s">
        <v>13</v>
      </c>
      <c r="E195" s="85"/>
      <c r="F195" s="69">
        <f t="shared" si="4"/>
        <v>227</v>
      </c>
      <c r="G195" s="69">
        <f t="shared" si="5"/>
        <v>193</v>
      </c>
      <c r="H195" s="73" t="s">
        <v>14</v>
      </c>
      <c r="I195" s="87" t="s">
        <v>458</v>
      </c>
      <c r="J195" s="64"/>
      <c r="K195" s="65"/>
      <c r="L195" s="72"/>
    </row>
    <row r="196" customHeight="1" spans="1:12">
      <c r="A196" s="84" t="s">
        <v>459</v>
      </c>
      <c r="B196" s="17" t="s">
        <v>79</v>
      </c>
      <c r="C196" s="85">
        <v>1</v>
      </c>
      <c r="D196" s="86" t="s">
        <v>13</v>
      </c>
      <c r="E196" s="85"/>
      <c r="F196" s="69">
        <f t="shared" ref="F196:F259" si="6">F195+C195</f>
        <v>228</v>
      </c>
      <c r="G196" s="69">
        <f t="shared" si="5"/>
        <v>194</v>
      </c>
      <c r="H196" s="73" t="s">
        <v>14</v>
      </c>
      <c r="I196" s="87" t="s">
        <v>460</v>
      </c>
      <c r="J196" s="64"/>
      <c r="K196" s="65"/>
      <c r="L196" s="72"/>
    </row>
    <row r="197" customHeight="1" spans="1:12">
      <c r="A197" s="84" t="s">
        <v>461</v>
      </c>
      <c r="B197" s="17" t="s">
        <v>79</v>
      </c>
      <c r="C197" s="85">
        <v>1</v>
      </c>
      <c r="D197" s="86" t="s">
        <v>13</v>
      </c>
      <c r="E197" s="85"/>
      <c r="F197" s="69">
        <f t="shared" si="6"/>
        <v>229</v>
      </c>
      <c r="G197" s="69">
        <f t="shared" si="5"/>
        <v>195</v>
      </c>
      <c r="H197" s="73" t="s">
        <v>14</v>
      </c>
      <c r="I197" s="87" t="s">
        <v>462</v>
      </c>
      <c r="J197" s="64"/>
      <c r="K197" s="65"/>
      <c r="L197" s="72"/>
    </row>
    <row r="198" customHeight="1" spans="1:12">
      <c r="A198" s="84" t="s">
        <v>463</v>
      </c>
      <c r="B198" s="17" t="s">
        <v>79</v>
      </c>
      <c r="C198" s="85">
        <v>1</v>
      </c>
      <c r="D198" s="86" t="s">
        <v>13</v>
      </c>
      <c r="E198" s="85"/>
      <c r="F198" s="69">
        <f t="shared" si="6"/>
        <v>230</v>
      </c>
      <c r="G198" s="69">
        <f t="shared" si="5"/>
        <v>196</v>
      </c>
      <c r="H198" s="73" t="s">
        <v>14</v>
      </c>
      <c r="I198" s="87" t="s">
        <v>464</v>
      </c>
      <c r="J198" s="64"/>
      <c r="K198" s="65"/>
      <c r="L198" s="72"/>
    </row>
    <row r="199" customHeight="1" spans="1:12">
      <c r="A199" s="84" t="s">
        <v>465</v>
      </c>
      <c r="B199" s="17" t="s">
        <v>79</v>
      </c>
      <c r="C199" s="85">
        <v>1</v>
      </c>
      <c r="D199" s="86" t="s">
        <v>13</v>
      </c>
      <c r="E199" s="85"/>
      <c r="F199" s="69">
        <f t="shared" si="6"/>
        <v>231</v>
      </c>
      <c r="G199" s="69">
        <f t="shared" si="5"/>
        <v>197</v>
      </c>
      <c r="H199" s="73" t="s">
        <v>14</v>
      </c>
      <c r="I199" s="87" t="s">
        <v>466</v>
      </c>
      <c r="J199" s="64"/>
      <c r="K199" s="65"/>
      <c r="L199" s="72"/>
    </row>
    <row r="200" customHeight="1" spans="1:12">
      <c r="A200" s="84" t="s">
        <v>467</v>
      </c>
      <c r="B200" s="17" t="s">
        <v>79</v>
      </c>
      <c r="C200" s="85">
        <v>1</v>
      </c>
      <c r="D200" s="86" t="s">
        <v>13</v>
      </c>
      <c r="E200" s="85"/>
      <c r="F200" s="69">
        <f t="shared" si="6"/>
        <v>232</v>
      </c>
      <c r="G200" s="69">
        <f t="shared" si="5"/>
        <v>198</v>
      </c>
      <c r="H200" s="73" t="s">
        <v>14</v>
      </c>
      <c r="I200" s="22" t="s">
        <v>468</v>
      </c>
      <c r="J200" s="64"/>
      <c r="K200" s="65"/>
      <c r="L200" s="72"/>
    </row>
    <row r="201" customHeight="1" spans="1:12">
      <c r="A201" s="84" t="s">
        <v>469</v>
      </c>
      <c r="B201" s="17" t="s">
        <v>79</v>
      </c>
      <c r="C201" s="85">
        <v>1</v>
      </c>
      <c r="D201" s="86" t="s">
        <v>13</v>
      </c>
      <c r="E201" s="85"/>
      <c r="F201" s="69">
        <f t="shared" si="6"/>
        <v>233</v>
      </c>
      <c r="G201" s="69">
        <f t="shared" si="5"/>
        <v>199</v>
      </c>
      <c r="H201" s="73" t="s">
        <v>14</v>
      </c>
      <c r="I201" s="22" t="s">
        <v>470</v>
      </c>
      <c r="J201" s="64"/>
      <c r="K201" s="65"/>
      <c r="L201" s="72"/>
    </row>
    <row r="202" customHeight="1" spans="1:12">
      <c r="A202" s="84" t="s">
        <v>471</v>
      </c>
      <c r="B202" s="17" t="s">
        <v>79</v>
      </c>
      <c r="C202" s="85">
        <v>1</v>
      </c>
      <c r="D202" s="86" t="s">
        <v>13</v>
      </c>
      <c r="E202" s="85"/>
      <c r="F202" s="69">
        <f t="shared" si="6"/>
        <v>234</v>
      </c>
      <c r="G202" s="69">
        <f t="shared" si="5"/>
        <v>200</v>
      </c>
      <c r="H202" s="73" t="s">
        <v>14</v>
      </c>
      <c r="I202" s="22" t="s">
        <v>472</v>
      </c>
      <c r="J202" s="64"/>
      <c r="K202" s="65"/>
      <c r="L202" s="72"/>
    </row>
    <row r="203" customHeight="1" spans="1:12">
      <c r="A203" s="84" t="s">
        <v>473</v>
      </c>
      <c r="B203" s="17" t="s">
        <v>79</v>
      </c>
      <c r="C203" s="85">
        <v>1</v>
      </c>
      <c r="D203" s="86" t="s">
        <v>13</v>
      </c>
      <c r="E203" s="85"/>
      <c r="F203" s="69">
        <f t="shared" si="6"/>
        <v>235</v>
      </c>
      <c r="G203" s="69">
        <f t="shared" si="5"/>
        <v>201</v>
      </c>
      <c r="H203" s="73" t="s">
        <v>14</v>
      </c>
      <c r="I203" s="3" t="s">
        <v>474</v>
      </c>
      <c r="J203" s="64"/>
      <c r="K203" s="65"/>
      <c r="L203" s="72"/>
    </row>
    <row r="204" customHeight="1" spans="1:12">
      <c r="A204" s="84" t="s">
        <v>475</v>
      </c>
      <c r="B204" s="17" t="s">
        <v>79</v>
      </c>
      <c r="C204" s="85">
        <v>1</v>
      </c>
      <c r="D204" s="86" t="s">
        <v>13</v>
      </c>
      <c r="E204" s="85"/>
      <c r="F204" s="69">
        <f t="shared" si="6"/>
        <v>236</v>
      </c>
      <c r="G204" s="69">
        <f t="shared" ref="G204:G265" si="7">G203+1</f>
        <v>202</v>
      </c>
      <c r="H204" s="73" t="s">
        <v>14</v>
      </c>
      <c r="I204" s="98" t="s">
        <v>476</v>
      </c>
      <c r="J204" s="64"/>
      <c r="K204" s="65"/>
      <c r="L204" s="72"/>
    </row>
    <row r="205" customHeight="1" spans="1:12">
      <c r="A205" s="84" t="s">
        <v>477</v>
      </c>
      <c r="B205" s="17" t="s">
        <v>79</v>
      </c>
      <c r="C205" s="85">
        <v>1</v>
      </c>
      <c r="D205" s="86" t="s">
        <v>13</v>
      </c>
      <c r="E205" s="85"/>
      <c r="F205" s="69">
        <f t="shared" si="6"/>
        <v>237</v>
      </c>
      <c r="G205" s="69">
        <f t="shared" si="7"/>
        <v>203</v>
      </c>
      <c r="H205" s="73" t="s">
        <v>14</v>
      </c>
      <c r="I205" s="98" t="s">
        <v>478</v>
      </c>
      <c r="J205" s="64"/>
      <c r="K205" s="65"/>
      <c r="L205" s="72"/>
    </row>
    <row r="206" customHeight="1" spans="1:12">
      <c r="A206" s="84" t="s">
        <v>479</v>
      </c>
      <c r="B206" s="17" t="s">
        <v>79</v>
      </c>
      <c r="C206" s="85">
        <v>1</v>
      </c>
      <c r="D206" s="86" t="s">
        <v>13</v>
      </c>
      <c r="E206" s="85"/>
      <c r="F206" s="69">
        <f t="shared" si="6"/>
        <v>238</v>
      </c>
      <c r="G206" s="69">
        <f t="shared" si="7"/>
        <v>204</v>
      </c>
      <c r="H206" s="73" t="s">
        <v>14</v>
      </c>
      <c r="I206" s="98" t="s">
        <v>480</v>
      </c>
      <c r="J206" s="64"/>
      <c r="K206" s="65"/>
      <c r="L206" s="72"/>
    </row>
    <row r="207" customHeight="1" spans="1:12">
      <c r="A207" s="84" t="s">
        <v>481</v>
      </c>
      <c r="B207" s="17" t="s">
        <v>79</v>
      </c>
      <c r="C207" s="85">
        <v>1</v>
      </c>
      <c r="D207" s="86" t="s">
        <v>13</v>
      </c>
      <c r="E207" s="85"/>
      <c r="F207" s="69">
        <f t="shared" si="6"/>
        <v>239</v>
      </c>
      <c r="G207" s="69">
        <f t="shared" si="7"/>
        <v>205</v>
      </c>
      <c r="H207" s="73" t="s">
        <v>14</v>
      </c>
      <c r="I207" s="98" t="s">
        <v>482</v>
      </c>
      <c r="J207" s="64"/>
      <c r="K207" s="65"/>
      <c r="L207" s="72"/>
    </row>
    <row r="208" customHeight="1" spans="1:12">
      <c r="A208" s="84" t="s">
        <v>483</v>
      </c>
      <c r="B208" s="17" t="s">
        <v>79</v>
      </c>
      <c r="C208" s="85">
        <v>1</v>
      </c>
      <c r="D208" s="86" t="s">
        <v>13</v>
      </c>
      <c r="E208" s="85"/>
      <c r="F208" s="69">
        <f t="shared" si="6"/>
        <v>240</v>
      </c>
      <c r="G208" s="69">
        <f t="shared" si="7"/>
        <v>206</v>
      </c>
      <c r="H208" s="73" t="s">
        <v>14</v>
      </c>
      <c r="I208" s="98" t="s">
        <v>484</v>
      </c>
      <c r="J208" s="64"/>
      <c r="K208" s="65"/>
      <c r="L208" s="72"/>
    </row>
    <row r="209" customHeight="1" spans="1:12">
      <c r="A209" s="84" t="s">
        <v>485</v>
      </c>
      <c r="B209" s="17" t="s">
        <v>486</v>
      </c>
      <c r="C209" s="85">
        <v>1</v>
      </c>
      <c r="D209" s="86" t="s">
        <v>13</v>
      </c>
      <c r="E209" s="85"/>
      <c r="F209" s="69">
        <f t="shared" si="6"/>
        <v>241</v>
      </c>
      <c r="G209" s="69">
        <f t="shared" si="7"/>
        <v>207</v>
      </c>
      <c r="H209" s="73" t="s">
        <v>14</v>
      </c>
      <c r="I209" s="87" t="s">
        <v>487</v>
      </c>
      <c r="J209" s="64"/>
      <c r="K209" s="65"/>
      <c r="L209" s="72"/>
    </row>
    <row r="210" customHeight="1" spans="1:12">
      <c r="A210" s="84" t="s">
        <v>488</v>
      </c>
      <c r="B210" s="117" t="s">
        <v>63</v>
      </c>
      <c r="C210" s="46">
        <v>2</v>
      </c>
      <c r="D210" s="68" t="s">
        <v>26</v>
      </c>
      <c r="E210" s="46"/>
      <c r="F210" s="69">
        <f t="shared" si="6"/>
        <v>242</v>
      </c>
      <c r="G210" s="69">
        <f t="shared" si="7"/>
        <v>208</v>
      </c>
      <c r="H210" s="73" t="s">
        <v>27</v>
      </c>
      <c r="I210" s="119" t="s">
        <v>489</v>
      </c>
      <c r="J210" s="64"/>
      <c r="K210" s="65"/>
      <c r="L210" s="72"/>
    </row>
    <row r="211" customHeight="1" spans="1:12">
      <c r="A211" s="84" t="s">
        <v>490</v>
      </c>
      <c r="B211" s="17" t="s">
        <v>79</v>
      </c>
      <c r="C211" s="85">
        <v>1</v>
      </c>
      <c r="D211" s="86" t="s">
        <v>13</v>
      </c>
      <c r="E211" s="85"/>
      <c r="F211" s="69">
        <f t="shared" si="6"/>
        <v>244</v>
      </c>
      <c r="G211" s="69">
        <f t="shared" si="7"/>
        <v>209</v>
      </c>
      <c r="H211" s="73" t="s">
        <v>14</v>
      </c>
      <c r="I211" s="87" t="s">
        <v>491</v>
      </c>
      <c r="J211" s="64" t="s">
        <v>36</v>
      </c>
      <c r="K211" s="65"/>
      <c r="L211" s="72"/>
    </row>
    <row r="212" customHeight="1" spans="1:12">
      <c r="A212" s="84" t="s">
        <v>492</v>
      </c>
      <c r="B212" s="17" t="s">
        <v>79</v>
      </c>
      <c r="C212" s="85">
        <v>1</v>
      </c>
      <c r="D212" s="86" t="s">
        <v>13</v>
      </c>
      <c r="E212" s="85"/>
      <c r="F212" s="69">
        <f t="shared" si="6"/>
        <v>245</v>
      </c>
      <c r="G212" s="69">
        <f t="shared" si="7"/>
        <v>210</v>
      </c>
      <c r="H212" s="73" t="s">
        <v>14</v>
      </c>
      <c r="I212" s="87" t="s">
        <v>493</v>
      </c>
      <c r="J212" s="64" t="s">
        <v>36</v>
      </c>
      <c r="K212" s="65"/>
      <c r="L212" s="72"/>
    </row>
    <row r="213" customHeight="1" spans="1:12">
      <c r="A213" s="84" t="s">
        <v>494</v>
      </c>
      <c r="B213" s="17" t="s">
        <v>79</v>
      </c>
      <c r="C213" s="85">
        <v>1</v>
      </c>
      <c r="D213" s="86" t="s">
        <v>13</v>
      </c>
      <c r="E213" s="85"/>
      <c r="F213" s="69">
        <f t="shared" si="6"/>
        <v>246</v>
      </c>
      <c r="G213" s="69">
        <f t="shared" si="7"/>
        <v>211</v>
      </c>
      <c r="H213" s="73" t="s">
        <v>14</v>
      </c>
      <c r="I213" s="87" t="s">
        <v>495</v>
      </c>
      <c r="J213" s="64" t="s">
        <v>36</v>
      </c>
      <c r="K213" s="65"/>
      <c r="L213" s="72"/>
    </row>
    <row r="214" customHeight="1" spans="1:12">
      <c r="A214" s="84" t="s">
        <v>496</v>
      </c>
      <c r="B214" s="17" t="s">
        <v>79</v>
      </c>
      <c r="C214" s="85">
        <v>1</v>
      </c>
      <c r="D214" s="86" t="s">
        <v>13</v>
      </c>
      <c r="E214" s="85"/>
      <c r="F214" s="69">
        <f t="shared" si="6"/>
        <v>247</v>
      </c>
      <c r="G214" s="69">
        <f t="shared" si="7"/>
        <v>212</v>
      </c>
      <c r="H214" s="73" t="s">
        <v>14</v>
      </c>
      <c r="I214" s="87" t="s">
        <v>497</v>
      </c>
      <c r="J214" s="64" t="s">
        <v>36</v>
      </c>
      <c r="K214" s="65"/>
      <c r="L214" s="72"/>
    </row>
    <row r="215" customHeight="1" spans="1:12">
      <c r="A215" s="84" t="s">
        <v>498</v>
      </c>
      <c r="B215" s="17" t="s">
        <v>79</v>
      </c>
      <c r="C215" s="85">
        <v>1</v>
      </c>
      <c r="D215" s="86" t="s">
        <v>13</v>
      </c>
      <c r="E215" s="85"/>
      <c r="F215" s="69">
        <f t="shared" si="6"/>
        <v>248</v>
      </c>
      <c r="G215" s="69">
        <f t="shared" si="7"/>
        <v>213</v>
      </c>
      <c r="H215" s="73" t="s">
        <v>14</v>
      </c>
      <c r="I215" s="87" t="s">
        <v>499</v>
      </c>
      <c r="J215" s="64" t="s">
        <v>36</v>
      </c>
      <c r="K215" s="65"/>
      <c r="L215" s="72"/>
    </row>
    <row r="216" customHeight="1" spans="1:12">
      <c r="A216" s="84" t="s">
        <v>500</v>
      </c>
      <c r="B216" s="17" t="s">
        <v>79</v>
      </c>
      <c r="C216" s="85">
        <v>1</v>
      </c>
      <c r="D216" s="86" t="s">
        <v>13</v>
      </c>
      <c r="E216" s="85"/>
      <c r="F216" s="69">
        <f t="shared" si="6"/>
        <v>249</v>
      </c>
      <c r="G216" s="69">
        <f t="shared" si="7"/>
        <v>214</v>
      </c>
      <c r="H216" s="73" t="s">
        <v>14</v>
      </c>
      <c r="I216" s="87" t="s">
        <v>501</v>
      </c>
      <c r="J216" s="64" t="s">
        <v>36</v>
      </c>
      <c r="K216" s="65"/>
      <c r="L216" s="72"/>
    </row>
    <row r="217" customHeight="1" spans="1:12">
      <c r="A217" s="84" t="s">
        <v>502</v>
      </c>
      <c r="B217" s="17" t="s">
        <v>79</v>
      </c>
      <c r="C217" s="85">
        <v>1</v>
      </c>
      <c r="D217" s="86" t="s">
        <v>13</v>
      </c>
      <c r="E217" s="85"/>
      <c r="F217" s="69">
        <f t="shared" si="6"/>
        <v>250</v>
      </c>
      <c r="G217" s="69">
        <f t="shared" si="7"/>
        <v>215</v>
      </c>
      <c r="H217" s="73" t="s">
        <v>14</v>
      </c>
      <c r="I217" s="87" t="s">
        <v>503</v>
      </c>
      <c r="J217" s="64" t="s">
        <v>36</v>
      </c>
      <c r="K217" s="65"/>
      <c r="L217" s="72"/>
    </row>
    <row r="218" customHeight="1" spans="1:12">
      <c r="A218" s="84" t="s">
        <v>504</v>
      </c>
      <c r="B218" s="17" t="s">
        <v>79</v>
      </c>
      <c r="C218" s="85">
        <v>1</v>
      </c>
      <c r="D218" s="86" t="s">
        <v>13</v>
      </c>
      <c r="E218" s="85"/>
      <c r="F218" s="69">
        <f t="shared" si="6"/>
        <v>251</v>
      </c>
      <c r="G218" s="69">
        <f t="shared" si="7"/>
        <v>216</v>
      </c>
      <c r="H218" s="73" t="s">
        <v>14</v>
      </c>
      <c r="I218" s="87" t="s">
        <v>505</v>
      </c>
      <c r="J218" s="64" t="s">
        <v>36</v>
      </c>
      <c r="K218" s="65"/>
      <c r="L218" s="72"/>
    </row>
    <row r="219" customHeight="1" spans="1:12">
      <c r="A219" s="84" t="s">
        <v>506</v>
      </c>
      <c r="B219" s="17" t="s">
        <v>79</v>
      </c>
      <c r="C219" s="85">
        <v>1</v>
      </c>
      <c r="D219" s="86" t="s">
        <v>13</v>
      </c>
      <c r="E219" s="85"/>
      <c r="F219" s="69">
        <f t="shared" si="6"/>
        <v>252</v>
      </c>
      <c r="G219" s="69">
        <f t="shared" si="7"/>
        <v>217</v>
      </c>
      <c r="H219" s="73" t="s">
        <v>14</v>
      </c>
      <c r="I219" s="87" t="s">
        <v>507</v>
      </c>
      <c r="J219" s="64" t="s">
        <v>36</v>
      </c>
      <c r="K219" s="65"/>
      <c r="L219" s="72"/>
    </row>
    <row r="220" customHeight="1" spans="1:12">
      <c r="A220" s="84" t="s">
        <v>508</v>
      </c>
      <c r="B220" s="17" t="s">
        <v>79</v>
      </c>
      <c r="C220" s="85">
        <v>1</v>
      </c>
      <c r="D220" s="86" t="s">
        <v>13</v>
      </c>
      <c r="E220" s="85"/>
      <c r="F220" s="69">
        <f t="shared" si="6"/>
        <v>253</v>
      </c>
      <c r="G220" s="69">
        <f t="shared" si="7"/>
        <v>218</v>
      </c>
      <c r="H220" s="73" t="s">
        <v>14</v>
      </c>
      <c r="I220" s="87" t="s">
        <v>509</v>
      </c>
      <c r="J220" s="64" t="s">
        <v>36</v>
      </c>
      <c r="K220" s="65"/>
      <c r="L220" s="72"/>
    </row>
    <row r="221" customHeight="1" spans="1:12">
      <c r="A221" s="84" t="s">
        <v>510</v>
      </c>
      <c r="B221" s="17" t="s">
        <v>511</v>
      </c>
      <c r="C221" s="85">
        <v>1</v>
      </c>
      <c r="D221" s="86" t="s">
        <v>13</v>
      </c>
      <c r="E221" s="85"/>
      <c r="F221" s="69">
        <f t="shared" si="6"/>
        <v>254</v>
      </c>
      <c r="G221" s="69">
        <f t="shared" si="7"/>
        <v>219</v>
      </c>
      <c r="H221" s="73" t="s">
        <v>14</v>
      </c>
      <c r="I221" s="87" t="s">
        <v>512</v>
      </c>
      <c r="J221" s="64" t="s">
        <v>36</v>
      </c>
      <c r="K221" s="65"/>
      <c r="L221" s="72"/>
    </row>
    <row r="222" customHeight="1" spans="1:12">
      <c r="A222" s="84" t="s">
        <v>513</v>
      </c>
      <c r="B222" s="17" t="s">
        <v>79</v>
      </c>
      <c r="C222" s="85">
        <v>1</v>
      </c>
      <c r="D222" s="86" t="s">
        <v>13</v>
      </c>
      <c r="E222" s="85"/>
      <c r="F222" s="69">
        <f t="shared" si="6"/>
        <v>255</v>
      </c>
      <c r="G222" s="69">
        <f t="shared" si="7"/>
        <v>220</v>
      </c>
      <c r="H222" s="73" t="s">
        <v>14</v>
      </c>
      <c r="I222" s="87" t="s">
        <v>514</v>
      </c>
      <c r="J222" s="64"/>
      <c r="K222" s="65"/>
      <c r="L222" s="72"/>
    </row>
    <row r="223" customHeight="1" spans="1:12">
      <c r="A223" s="84" t="s">
        <v>515</v>
      </c>
      <c r="B223" s="17" t="s">
        <v>79</v>
      </c>
      <c r="C223" s="85">
        <v>1</v>
      </c>
      <c r="D223" s="86" t="s">
        <v>13</v>
      </c>
      <c r="E223" s="85"/>
      <c r="F223" s="69">
        <f t="shared" si="6"/>
        <v>256</v>
      </c>
      <c r="G223" s="69">
        <f t="shared" si="7"/>
        <v>221</v>
      </c>
      <c r="H223" s="73" t="s">
        <v>14</v>
      </c>
      <c r="I223" s="87" t="s">
        <v>516</v>
      </c>
      <c r="J223" s="64"/>
      <c r="K223" s="65"/>
      <c r="L223" s="72"/>
    </row>
    <row r="224" customHeight="1" spans="1:12">
      <c r="A224" s="84" t="s">
        <v>517</v>
      </c>
      <c r="B224" s="17" t="s">
        <v>79</v>
      </c>
      <c r="C224" s="85">
        <v>1</v>
      </c>
      <c r="D224" s="86" t="s">
        <v>13</v>
      </c>
      <c r="E224" s="85"/>
      <c r="F224" s="69">
        <f t="shared" si="6"/>
        <v>257</v>
      </c>
      <c r="G224" s="69">
        <f t="shared" si="7"/>
        <v>222</v>
      </c>
      <c r="H224" s="73" t="s">
        <v>14</v>
      </c>
      <c r="I224" s="87" t="s">
        <v>518</v>
      </c>
      <c r="J224" s="64"/>
      <c r="K224" s="65"/>
      <c r="L224" s="72"/>
    </row>
    <row r="225" customHeight="1" spans="1:12">
      <c r="A225" s="84" t="s">
        <v>519</v>
      </c>
      <c r="B225" s="17" t="s">
        <v>79</v>
      </c>
      <c r="C225" s="85">
        <v>1</v>
      </c>
      <c r="D225" s="86" t="s">
        <v>13</v>
      </c>
      <c r="E225" s="85"/>
      <c r="F225" s="69">
        <f t="shared" si="6"/>
        <v>258</v>
      </c>
      <c r="G225" s="69">
        <f t="shared" si="7"/>
        <v>223</v>
      </c>
      <c r="H225" s="73" t="s">
        <v>14</v>
      </c>
      <c r="I225" s="98" t="s">
        <v>520</v>
      </c>
      <c r="J225" s="64"/>
      <c r="K225" s="65"/>
      <c r="L225" s="72"/>
    </row>
    <row r="226" customHeight="1" spans="1:12">
      <c r="A226" s="84" t="s">
        <v>521</v>
      </c>
      <c r="B226" s="17" t="s">
        <v>79</v>
      </c>
      <c r="C226" s="85">
        <v>1</v>
      </c>
      <c r="D226" s="86" t="s">
        <v>13</v>
      </c>
      <c r="E226" s="85"/>
      <c r="F226" s="69">
        <f t="shared" si="6"/>
        <v>259</v>
      </c>
      <c r="G226" s="69">
        <f t="shared" si="7"/>
        <v>224</v>
      </c>
      <c r="H226" s="73" t="s">
        <v>14</v>
      </c>
      <c r="I226" s="98" t="s">
        <v>522</v>
      </c>
      <c r="J226" s="64"/>
      <c r="K226" s="65"/>
      <c r="L226" s="72"/>
    </row>
    <row r="227" customHeight="1" spans="1:12">
      <c r="A227" s="84" t="s">
        <v>523</v>
      </c>
      <c r="B227" s="17" t="s">
        <v>79</v>
      </c>
      <c r="C227" s="85">
        <v>1</v>
      </c>
      <c r="D227" s="86" t="s">
        <v>13</v>
      </c>
      <c r="E227" s="85"/>
      <c r="F227" s="69">
        <f t="shared" si="6"/>
        <v>260</v>
      </c>
      <c r="G227" s="69">
        <f t="shared" si="7"/>
        <v>225</v>
      </c>
      <c r="H227" s="73" t="s">
        <v>14</v>
      </c>
      <c r="I227" s="98" t="s">
        <v>524</v>
      </c>
      <c r="J227" s="64"/>
      <c r="K227" s="65"/>
      <c r="L227" s="72"/>
    </row>
    <row r="228" customHeight="1" spans="1:12">
      <c r="A228" s="84" t="s">
        <v>525</v>
      </c>
      <c r="B228" s="17" t="s">
        <v>79</v>
      </c>
      <c r="C228" s="85">
        <v>1</v>
      </c>
      <c r="D228" s="86" t="s">
        <v>13</v>
      </c>
      <c r="E228" s="85"/>
      <c r="F228" s="69">
        <f t="shared" si="6"/>
        <v>261</v>
      </c>
      <c r="G228" s="69">
        <f t="shared" si="7"/>
        <v>226</v>
      </c>
      <c r="H228" s="73" t="s">
        <v>14</v>
      </c>
      <c r="I228" s="98" t="s">
        <v>526</v>
      </c>
      <c r="J228" s="64"/>
      <c r="K228" s="65"/>
      <c r="L228" s="72"/>
    </row>
    <row r="229" customHeight="1" spans="1:12">
      <c r="A229" s="99" t="s">
        <v>527</v>
      </c>
      <c r="B229" s="45" t="s">
        <v>79</v>
      </c>
      <c r="C229" s="92">
        <v>1</v>
      </c>
      <c r="D229" s="93" t="s">
        <v>13</v>
      </c>
      <c r="E229" s="92"/>
      <c r="F229" s="78">
        <f t="shared" si="6"/>
        <v>262</v>
      </c>
      <c r="G229" s="78">
        <f t="shared" si="7"/>
        <v>227</v>
      </c>
      <c r="H229" s="79" t="s">
        <v>14</v>
      </c>
      <c r="I229" s="100" t="s">
        <v>528</v>
      </c>
      <c r="J229" s="120"/>
      <c r="K229" s="121"/>
      <c r="L229" s="83"/>
    </row>
    <row r="230" customHeight="1" spans="1:12">
      <c r="A230" s="122" t="s">
        <v>529</v>
      </c>
      <c r="B230" s="123" t="s">
        <v>30</v>
      </c>
      <c r="C230" s="124">
        <v>1</v>
      </c>
      <c r="D230" s="125" t="s">
        <v>13</v>
      </c>
      <c r="E230" s="126"/>
      <c r="F230" s="116">
        <f t="shared" si="6"/>
        <v>263</v>
      </c>
      <c r="G230" s="116">
        <f t="shared" si="7"/>
        <v>228</v>
      </c>
      <c r="H230" s="127" t="s">
        <v>14</v>
      </c>
      <c r="I230" s="128" t="s">
        <v>530</v>
      </c>
      <c r="J230" s="129"/>
      <c r="K230" s="103"/>
      <c r="L230" s="66" t="s">
        <v>531</v>
      </c>
    </row>
    <row r="231" s="43" customFormat="1" customHeight="1" spans="1:12">
      <c r="A231" s="110" t="s">
        <v>532</v>
      </c>
      <c r="B231" s="130" t="s">
        <v>63</v>
      </c>
      <c r="C231" s="46">
        <v>2</v>
      </c>
      <c r="D231" s="68" t="s">
        <v>26</v>
      </c>
      <c r="E231" s="46"/>
      <c r="F231" s="69">
        <f t="shared" si="6"/>
        <v>264</v>
      </c>
      <c r="G231" s="69">
        <f t="shared" si="7"/>
        <v>229</v>
      </c>
      <c r="H231" s="73" t="s">
        <v>27</v>
      </c>
      <c r="I231" s="70" t="s">
        <v>533</v>
      </c>
      <c r="J231" s="64" t="s">
        <v>36</v>
      </c>
      <c r="K231" s="71"/>
      <c r="L231" s="72"/>
    </row>
    <row r="232" s="43" customFormat="1" customHeight="1" spans="1:12">
      <c r="A232" s="110" t="s">
        <v>534</v>
      </c>
      <c r="B232" s="130" t="s">
        <v>25</v>
      </c>
      <c r="C232" s="46">
        <v>3</v>
      </c>
      <c r="D232" s="68" t="s">
        <v>26</v>
      </c>
      <c r="E232" s="46"/>
      <c r="F232" s="69">
        <f t="shared" si="6"/>
        <v>266</v>
      </c>
      <c r="G232" s="69">
        <f t="shared" si="7"/>
        <v>230</v>
      </c>
      <c r="H232" s="73" t="s">
        <v>27</v>
      </c>
      <c r="I232" s="70" t="s">
        <v>535</v>
      </c>
      <c r="J232" s="64" t="s">
        <v>36</v>
      </c>
      <c r="K232" s="71"/>
      <c r="L232" s="72"/>
    </row>
    <row r="233" s="43" customFormat="1" customHeight="1" spans="1:12">
      <c r="A233" s="110" t="s">
        <v>536</v>
      </c>
      <c r="B233" s="17" t="s">
        <v>79</v>
      </c>
      <c r="C233" s="46">
        <v>1</v>
      </c>
      <c r="D233" s="68" t="s">
        <v>13</v>
      </c>
      <c r="E233" s="46"/>
      <c r="F233" s="69">
        <f t="shared" si="6"/>
        <v>269</v>
      </c>
      <c r="G233" s="69">
        <f t="shared" si="7"/>
        <v>231</v>
      </c>
      <c r="H233" s="73" t="s">
        <v>14</v>
      </c>
      <c r="I233" s="70" t="s">
        <v>537</v>
      </c>
      <c r="J233" s="64" t="s">
        <v>36</v>
      </c>
      <c r="K233" s="71"/>
      <c r="L233" s="72"/>
    </row>
    <row r="234" s="43" customFormat="1" customHeight="1" spans="1:12">
      <c r="A234" s="67" t="s">
        <v>538</v>
      </c>
      <c r="B234" s="43" t="s">
        <v>539</v>
      </c>
      <c r="C234" s="46">
        <v>1</v>
      </c>
      <c r="D234" s="68" t="s">
        <v>13</v>
      </c>
      <c r="E234" s="46"/>
      <c r="F234" s="69">
        <f t="shared" si="6"/>
        <v>270</v>
      </c>
      <c r="G234" s="69">
        <f t="shared" si="7"/>
        <v>232</v>
      </c>
      <c r="H234" s="73" t="s">
        <v>14</v>
      </c>
      <c r="I234" s="70" t="s">
        <v>540</v>
      </c>
      <c r="J234" s="64" t="s">
        <v>36</v>
      </c>
      <c r="K234" s="71"/>
      <c r="L234" s="72"/>
    </row>
    <row r="235" s="43" customFormat="1" customHeight="1" spans="1:12">
      <c r="A235" s="67" t="s">
        <v>541</v>
      </c>
      <c r="B235" s="43" t="s">
        <v>542</v>
      </c>
      <c r="C235" s="46">
        <v>1</v>
      </c>
      <c r="D235" s="68" t="s">
        <v>13</v>
      </c>
      <c r="E235" s="46"/>
      <c r="F235" s="69">
        <f t="shared" si="6"/>
        <v>271</v>
      </c>
      <c r="G235" s="69">
        <f t="shared" si="7"/>
        <v>233</v>
      </c>
      <c r="H235" s="73" t="s">
        <v>14</v>
      </c>
      <c r="I235" s="70" t="s">
        <v>543</v>
      </c>
      <c r="J235" s="64" t="s">
        <v>36</v>
      </c>
      <c r="K235" s="71"/>
      <c r="L235" s="72"/>
    </row>
    <row r="236" s="43" customFormat="1" customHeight="1" spans="1:12">
      <c r="A236" s="67" t="s">
        <v>544</v>
      </c>
      <c r="B236" s="43" t="s">
        <v>79</v>
      </c>
      <c r="C236" s="46">
        <v>1</v>
      </c>
      <c r="D236" s="68" t="s">
        <v>13</v>
      </c>
      <c r="E236" s="46"/>
      <c r="F236" s="69">
        <f t="shared" si="6"/>
        <v>272</v>
      </c>
      <c r="G236" s="69">
        <f t="shared" si="7"/>
        <v>234</v>
      </c>
      <c r="H236" s="73" t="s">
        <v>14</v>
      </c>
      <c r="I236" s="70" t="s">
        <v>545</v>
      </c>
      <c r="J236" s="64"/>
      <c r="K236" s="71"/>
      <c r="L236" s="72"/>
    </row>
    <row r="237" s="43" customFormat="1" customHeight="1" spans="1:12">
      <c r="A237" s="67" t="s">
        <v>546</v>
      </c>
      <c r="B237" s="130" t="s">
        <v>25</v>
      </c>
      <c r="C237" s="46">
        <v>3</v>
      </c>
      <c r="D237" s="68" t="s">
        <v>26</v>
      </c>
      <c r="E237" s="46"/>
      <c r="F237" s="69">
        <f t="shared" si="6"/>
        <v>273</v>
      </c>
      <c r="G237" s="69">
        <f t="shared" si="7"/>
        <v>235</v>
      </c>
      <c r="H237" s="73" t="s">
        <v>27</v>
      </c>
      <c r="I237" s="70" t="s">
        <v>547</v>
      </c>
      <c r="J237" s="64" t="s">
        <v>36</v>
      </c>
      <c r="K237" s="71"/>
      <c r="L237" s="72"/>
    </row>
    <row r="238" s="43" customFormat="1" customHeight="1" spans="1:12">
      <c r="A238" s="67" t="s">
        <v>548</v>
      </c>
      <c r="B238" s="17" t="s">
        <v>30</v>
      </c>
      <c r="C238" s="46">
        <v>1</v>
      </c>
      <c r="D238" s="68" t="s">
        <v>13</v>
      </c>
      <c r="E238" s="46"/>
      <c r="F238" s="69">
        <f t="shared" si="6"/>
        <v>276</v>
      </c>
      <c r="G238" s="69">
        <f t="shared" si="7"/>
        <v>236</v>
      </c>
      <c r="H238" s="73" t="s">
        <v>14</v>
      </c>
      <c r="I238" s="70" t="s">
        <v>549</v>
      </c>
      <c r="J238" s="64"/>
      <c r="K238" s="71"/>
      <c r="L238" s="72"/>
    </row>
    <row r="239" s="43" customFormat="1" customHeight="1" spans="1:12">
      <c r="A239" s="67" t="s">
        <v>550</v>
      </c>
      <c r="B239" s="130" t="s">
        <v>25</v>
      </c>
      <c r="C239" s="46">
        <v>3</v>
      </c>
      <c r="D239" s="68" t="s">
        <v>26</v>
      </c>
      <c r="E239" s="46"/>
      <c r="F239" s="69">
        <f t="shared" si="6"/>
        <v>277</v>
      </c>
      <c r="G239" s="69">
        <f t="shared" si="7"/>
        <v>237</v>
      </c>
      <c r="H239" s="73" t="s">
        <v>27</v>
      </c>
      <c r="I239" s="70" t="s">
        <v>551</v>
      </c>
      <c r="J239" s="64" t="s">
        <v>36</v>
      </c>
      <c r="K239" s="71"/>
      <c r="L239" s="72"/>
    </row>
    <row r="240" s="43" customFormat="1" customHeight="1" spans="1:12">
      <c r="A240" s="67" t="s">
        <v>552</v>
      </c>
      <c r="B240" s="17" t="s">
        <v>79</v>
      </c>
      <c r="C240" s="46">
        <v>1</v>
      </c>
      <c r="D240" s="68" t="s">
        <v>13</v>
      </c>
      <c r="E240" s="46"/>
      <c r="F240" s="69">
        <f t="shared" si="6"/>
        <v>280</v>
      </c>
      <c r="G240" s="69">
        <f t="shared" si="7"/>
        <v>238</v>
      </c>
      <c r="H240" s="73" t="s">
        <v>14</v>
      </c>
      <c r="I240" s="70" t="s">
        <v>553</v>
      </c>
      <c r="J240" s="64" t="s">
        <v>36</v>
      </c>
      <c r="K240" s="71"/>
      <c r="L240" s="72"/>
    </row>
    <row r="241" s="43" customFormat="1" customHeight="1" spans="1:12">
      <c r="A241" s="67" t="s">
        <v>554</v>
      </c>
      <c r="B241" s="17" t="s">
        <v>79</v>
      </c>
      <c r="C241" s="46">
        <v>1</v>
      </c>
      <c r="D241" s="68" t="s">
        <v>13</v>
      </c>
      <c r="E241" s="46"/>
      <c r="F241" s="69">
        <f t="shared" si="6"/>
        <v>281</v>
      </c>
      <c r="G241" s="69">
        <f t="shared" si="7"/>
        <v>239</v>
      </c>
      <c r="H241" s="73" t="s">
        <v>14</v>
      </c>
      <c r="I241" s="70" t="s">
        <v>555</v>
      </c>
      <c r="J241" s="64" t="s">
        <v>36</v>
      </c>
      <c r="K241" s="71"/>
      <c r="L241" s="72"/>
    </row>
    <row r="242" s="43" customFormat="1" customHeight="1" spans="1:12">
      <c r="A242" s="67" t="s">
        <v>556</v>
      </c>
      <c r="B242" s="17" t="s">
        <v>79</v>
      </c>
      <c r="C242" s="46">
        <v>1</v>
      </c>
      <c r="D242" s="68" t="s">
        <v>13</v>
      </c>
      <c r="E242" s="46"/>
      <c r="F242" s="69">
        <f t="shared" si="6"/>
        <v>282</v>
      </c>
      <c r="G242" s="69">
        <f t="shared" si="7"/>
        <v>240</v>
      </c>
      <c r="H242" s="73" t="s">
        <v>14</v>
      </c>
      <c r="I242" s="70" t="s">
        <v>557</v>
      </c>
      <c r="J242" s="64" t="s">
        <v>36</v>
      </c>
      <c r="K242" s="71"/>
      <c r="L242" s="72"/>
    </row>
    <row r="243" s="43" customFormat="1" customHeight="1" spans="1:12">
      <c r="A243" s="110" t="s">
        <v>558</v>
      </c>
      <c r="B243" s="130" t="s">
        <v>63</v>
      </c>
      <c r="C243" s="46">
        <v>2</v>
      </c>
      <c r="D243" s="68" t="s">
        <v>26</v>
      </c>
      <c r="E243" s="46"/>
      <c r="F243" s="69">
        <f t="shared" si="6"/>
        <v>283</v>
      </c>
      <c r="G243" s="69">
        <f t="shared" si="7"/>
        <v>241</v>
      </c>
      <c r="H243" s="73" t="s">
        <v>27</v>
      </c>
      <c r="I243" s="70" t="s">
        <v>559</v>
      </c>
      <c r="J243" s="64" t="s">
        <v>36</v>
      </c>
      <c r="K243" s="71"/>
      <c r="L243" s="72"/>
    </row>
    <row r="244" s="43" customFormat="1" customHeight="1" spans="1:12">
      <c r="A244" s="110" t="s">
        <v>560</v>
      </c>
      <c r="B244" s="130" t="s">
        <v>63</v>
      </c>
      <c r="C244" s="46">
        <v>2</v>
      </c>
      <c r="D244" s="68" t="s">
        <v>26</v>
      </c>
      <c r="E244" s="46"/>
      <c r="F244" s="69">
        <f t="shared" si="6"/>
        <v>285</v>
      </c>
      <c r="G244" s="69">
        <f t="shared" si="7"/>
        <v>242</v>
      </c>
      <c r="H244" s="73" t="s">
        <v>27</v>
      </c>
      <c r="I244" s="70" t="s">
        <v>561</v>
      </c>
      <c r="J244" s="64" t="s">
        <v>36</v>
      </c>
      <c r="K244" s="71"/>
      <c r="L244" s="72"/>
    </row>
    <row r="245" s="43" customFormat="1" customHeight="1" spans="1:12">
      <c r="A245" s="110" t="s">
        <v>562</v>
      </c>
      <c r="B245" s="130" t="s">
        <v>63</v>
      </c>
      <c r="C245" s="46">
        <v>2</v>
      </c>
      <c r="D245" s="68" t="s">
        <v>26</v>
      </c>
      <c r="E245" s="46"/>
      <c r="F245" s="69">
        <f t="shared" si="6"/>
        <v>287</v>
      </c>
      <c r="G245" s="69">
        <f t="shared" si="7"/>
        <v>243</v>
      </c>
      <c r="H245" s="73" t="s">
        <v>27</v>
      </c>
      <c r="I245" s="70" t="s">
        <v>563</v>
      </c>
      <c r="J245" s="64" t="s">
        <v>36</v>
      </c>
      <c r="K245" s="71"/>
      <c r="L245" s="72"/>
    </row>
    <row r="246" s="43" customFormat="1" customHeight="1" spans="1:12">
      <c r="A246" s="110" t="s">
        <v>564</v>
      </c>
      <c r="B246" s="130" t="s">
        <v>63</v>
      </c>
      <c r="C246" s="46">
        <v>2</v>
      </c>
      <c r="D246" s="68" t="s">
        <v>26</v>
      </c>
      <c r="E246" s="46"/>
      <c r="F246" s="69">
        <f t="shared" si="6"/>
        <v>289</v>
      </c>
      <c r="G246" s="69">
        <f t="shared" si="7"/>
        <v>244</v>
      </c>
      <c r="H246" s="73" t="s">
        <v>27</v>
      </c>
      <c r="I246" s="70" t="s">
        <v>565</v>
      </c>
      <c r="J246" s="64" t="s">
        <v>36</v>
      </c>
      <c r="K246" s="71"/>
      <c r="L246" s="72"/>
    </row>
    <row r="247" s="43" customFormat="1" customHeight="1" spans="1:12">
      <c r="A247" s="110" t="s">
        <v>566</v>
      </c>
      <c r="B247" s="130" t="s">
        <v>63</v>
      </c>
      <c r="C247" s="46">
        <v>2</v>
      </c>
      <c r="D247" s="68" t="s">
        <v>26</v>
      </c>
      <c r="E247" s="46"/>
      <c r="F247" s="69">
        <f t="shared" si="6"/>
        <v>291</v>
      </c>
      <c r="G247" s="69">
        <f t="shared" si="7"/>
        <v>245</v>
      </c>
      <c r="H247" s="73" t="s">
        <v>27</v>
      </c>
      <c r="I247" s="70" t="s">
        <v>567</v>
      </c>
      <c r="J247" s="64" t="s">
        <v>36</v>
      </c>
      <c r="K247" s="71"/>
      <c r="L247" s="72"/>
    </row>
    <row r="248" customHeight="1" spans="1:12">
      <c r="A248" s="84" t="s">
        <v>568</v>
      </c>
      <c r="B248" s="17" t="s">
        <v>569</v>
      </c>
      <c r="C248" s="85">
        <v>1</v>
      </c>
      <c r="D248" s="86" t="s">
        <v>13</v>
      </c>
      <c r="E248" s="85"/>
      <c r="F248" s="69">
        <f t="shared" si="6"/>
        <v>293</v>
      </c>
      <c r="G248" s="69">
        <f t="shared" si="7"/>
        <v>246</v>
      </c>
      <c r="H248" s="73" t="s">
        <v>14</v>
      </c>
      <c r="I248" s="87" t="s">
        <v>570</v>
      </c>
      <c r="J248" s="64" t="s">
        <v>36</v>
      </c>
      <c r="K248" s="65"/>
      <c r="L248" s="72"/>
    </row>
    <row r="249" customHeight="1" spans="1:12">
      <c r="A249" s="84" t="s">
        <v>571</v>
      </c>
      <c r="B249" s="17" t="s">
        <v>79</v>
      </c>
      <c r="C249" s="85">
        <v>1</v>
      </c>
      <c r="D249" s="86" t="s">
        <v>13</v>
      </c>
      <c r="E249" s="85"/>
      <c r="F249" s="69">
        <f t="shared" si="6"/>
        <v>294</v>
      </c>
      <c r="G249" s="69">
        <f t="shared" si="7"/>
        <v>247</v>
      </c>
      <c r="H249" s="73" t="s">
        <v>14</v>
      </c>
      <c r="I249" s="87" t="s">
        <v>572</v>
      </c>
      <c r="J249" s="64"/>
      <c r="K249" s="65"/>
      <c r="L249" s="72"/>
    </row>
    <row r="250" customHeight="1" spans="1:12">
      <c r="A250" s="84" t="s">
        <v>573</v>
      </c>
      <c r="B250" s="17" t="s">
        <v>79</v>
      </c>
      <c r="C250" s="85">
        <v>1</v>
      </c>
      <c r="D250" s="86" t="s">
        <v>13</v>
      </c>
      <c r="E250" s="85"/>
      <c r="F250" s="69">
        <f t="shared" si="6"/>
        <v>295</v>
      </c>
      <c r="G250" s="69">
        <f t="shared" si="7"/>
        <v>248</v>
      </c>
      <c r="H250" s="73" t="s">
        <v>14</v>
      </c>
      <c r="I250" s="98" t="s">
        <v>574</v>
      </c>
      <c r="J250" s="64"/>
      <c r="K250" s="65"/>
      <c r="L250" s="72"/>
    </row>
    <row r="251" customHeight="1" spans="1:12">
      <c r="A251" s="84" t="s">
        <v>575</v>
      </c>
      <c r="B251" s="17" t="s">
        <v>79</v>
      </c>
      <c r="C251" s="85">
        <v>1</v>
      </c>
      <c r="D251" s="86" t="s">
        <v>13</v>
      </c>
      <c r="E251" s="85"/>
      <c r="F251" s="69">
        <f t="shared" si="6"/>
        <v>296</v>
      </c>
      <c r="G251" s="69">
        <f t="shared" si="7"/>
        <v>249</v>
      </c>
      <c r="H251" s="73" t="s">
        <v>14</v>
      </c>
      <c r="I251" s="98" t="s">
        <v>576</v>
      </c>
      <c r="J251" s="64"/>
      <c r="K251" s="65"/>
      <c r="L251" s="72"/>
    </row>
    <row r="252" customHeight="1" spans="1:12">
      <c r="A252" s="84" t="s">
        <v>577</v>
      </c>
      <c r="B252" s="17" t="s">
        <v>79</v>
      </c>
      <c r="C252" s="85">
        <v>1</v>
      </c>
      <c r="D252" s="86" t="s">
        <v>13</v>
      </c>
      <c r="E252" s="85"/>
      <c r="F252" s="69">
        <f t="shared" si="6"/>
        <v>297</v>
      </c>
      <c r="G252" s="69">
        <f t="shared" si="7"/>
        <v>250</v>
      </c>
      <c r="H252" s="73" t="s">
        <v>14</v>
      </c>
      <c r="I252" s="98" t="s">
        <v>578</v>
      </c>
      <c r="J252" s="64"/>
      <c r="K252" s="65"/>
      <c r="L252" s="72"/>
    </row>
    <row r="253" customHeight="1" spans="1:12">
      <c r="A253" s="84" t="s">
        <v>579</v>
      </c>
      <c r="B253" s="17" t="s">
        <v>79</v>
      </c>
      <c r="C253" s="85">
        <v>1</v>
      </c>
      <c r="D253" s="86" t="s">
        <v>13</v>
      </c>
      <c r="E253" s="85"/>
      <c r="F253" s="69">
        <f t="shared" si="6"/>
        <v>298</v>
      </c>
      <c r="G253" s="69">
        <f t="shared" si="7"/>
        <v>251</v>
      </c>
      <c r="H253" s="73" t="s">
        <v>14</v>
      </c>
      <c r="I253" s="87" t="s">
        <v>580</v>
      </c>
      <c r="J253" s="64"/>
      <c r="K253" s="65"/>
      <c r="L253" s="72"/>
    </row>
    <row r="254" customHeight="1" spans="1:12">
      <c r="A254" s="84" t="s">
        <v>581</v>
      </c>
      <c r="B254" s="17" t="s">
        <v>79</v>
      </c>
      <c r="C254" s="85">
        <v>1</v>
      </c>
      <c r="D254" s="86" t="s">
        <v>13</v>
      </c>
      <c r="E254" s="85"/>
      <c r="F254" s="69">
        <f t="shared" si="6"/>
        <v>299</v>
      </c>
      <c r="G254" s="69">
        <f t="shared" si="7"/>
        <v>252</v>
      </c>
      <c r="H254" s="73" t="s">
        <v>14</v>
      </c>
      <c r="I254" s="87" t="s">
        <v>582</v>
      </c>
      <c r="J254" s="64"/>
      <c r="K254" s="65"/>
      <c r="L254" s="72"/>
    </row>
    <row r="255" customHeight="1" spans="1:12">
      <c r="A255" s="99" t="s">
        <v>583</v>
      </c>
      <c r="B255" s="45" t="s">
        <v>79</v>
      </c>
      <c r="C255" s="92">
        <v>1</v>
      </c>
      <c r="D255" s="93" t="s">
        <v>13</v>
      </c>
      <c r="E255" s="92"/>
      <c r="F255" s="78">
        <f t="shared" si="6"/>
        <v>300</v>
      </c>
      <c r="G255" s="78">
        <f t="shared" si="7"/>
        <v>253</v>
      </c>
      <c r="H255" s="79" t="s">
        <v>14</v>
      </c>
      <c r="I255" s="95" t="s">
        <v>584</v>
      </c>
      <c r="J255" s="81"/>
      <c r="K255" s="96"/>
      <c r="L255" s="83"/>
    </row>
    <row r="256" customHeight="1" spans="1:12">
      <c r="A256" s="84" t="s">
        <v>585</v>
      </c>
      <c r="B256" s="17" t="s">
        <v>30</v>
      </c>
      <c r="C256" s="85">
        <v>1</v>
      </c>
      <c r="D256" s="86" t="s">
        <v>13</v>
      </c>
      <c r="E256" s="85"/>
      <c r="F256" s="69">
        <f t="shared" si="6"/>
        <v>301</v>
      </c>
      <c r="G256" s="69">
        <f t="shared" si="7"/>
        <v>254</v>
      </c>
      <c r="H256" s="73" t="s">
        <v>14</v>
      </c>
      <c r="I256" s="98" t="s">
        <v>586</v>
      </c>
      <c r="J256" s="64"/>
      <c r="K256" s="65"/>
      <c r="L256" s="66" t="s">
        <v>587</v>
      </c>
    </row>
    <row r="257" customHeight="1" spans="1:12">
      <c r="A257" s="84" t="s">
        <v>588</v>
      </c>
      <c r="B257" s="17" t="s">
        <v>79</v>
      </c>
      <c r="C257" s="85">
        <v>1</v>
      </c>
      <c r="D257" s="86" t="s">
        <v>13</v>
      </c>
      <c r="E257" s="85"/>
      <c r="F257" s="69">
        <f t="shared" si="6"/>
        <v>302</v>
      </c>
      <c r="G257" s="69">
        <f t="shared" si="7"/>
        <v>255</v>
      </c>
      <c r="H257" s="73" t="s">
        <v>14</v>
      </c>
      <c r="I257" s="98" t="s">
        <v>589</v>
      </c>
      <c r="J257" s="64"/>
      <c r="K257" s="65"/>
      <c r="L257" s="72"/>
    </row>
    <row r="258" customHeight="1" spans="1:12">
      <c r="A258" s="84" t="s">
        <v>590</v>
      </c>
      <c r="B258" s="17" t="s">
        <v>79</v>
      </c>
      <c r="C258" s="85">
        <v>1</v>
      </c>
      <c r="D258" s="86" t="s">
        <v>13</v>
      </c>
      <c r="E258" s="85"/>
      <c r="F258" s="69">
        <f t="shared" si="6"/>
        <v>303</v>
      </c>
      <c r="G258" s="69">
        <f t="shared" si="7"/>
        <v>256</v>
      </c>
      <c r="H258" s="73" t="s">
        <v>14</v>
      </c>
      <c r="I258" s="87" t="s">
        <v>591</v>
      </c>
      <c r="J258" s="64" t="s">
        <v>36</v>
      </c>
      <c r="K258" s="65"/>
      <c r="L258" s="72"/>
    </row>
    <row r="259" customHeight="1" spans="1:12">
      <c r="A259" s="84" t="s">
        <v>592</v>
      </c>
      <c r="B259" s="17" t="s">
        <v>79</v>
      </c>
      <c r="C259" s="85">
        <v>1</v>
      </c>
      <c r="D259" s="86" t="s">
        <v>13</v>
      </c>
      <c r="E259" s="85"/>
      <c r="F259" s="69">
        <f t="shared" si="6"/>
        <v>304</v>
      </c>
      <c r="G259" s="69">
        <f t="shared" si="7"/>
        <v>257</v>
      </c>
      <c r="H259" s="73" t="s">
        <v>14</v>
      </c>
      <c r="I259" s="87" t="s">
        <v>593</v>
      </c>
      <c r="J259" s="64" t="s">
        <v>36</v>
      </c>
      <c r="K259" s="65"/>
      <c r="L259" s="72"/>
    </row>
    <row r="260" customHeight="1" spans="1:12">
      <c r="A260" s="84" t="s">
        <v>594</v>
      </c>
      <c r="B260" s="17" t="s">
        <v>79</v>
      </c>
      <c r="C260" s="85">
        <v>1</v>
      </c>
      <c r="D260" s="86" t="s">
        <v>13</v>
      </c>
      <c r="E260" s="85"/>
      <c r="F260" s="69">
        <f t="shared" ref="F260:F323" si="8">F259+C259</f>
        <v>305</v>
      </c>
      <c r="G260" s="69">
        <f t="shared" si="7"/>
        <v>258</v>
      </c>
      <c r="H260" s="73" t="s">
        <v>14</v>
      </c>
      <c r="I260" s="87" t="s">
        <v>595</v>
      </c>
      <c r="J260" s="64" t="s">
        <v>36</v>
      </c>
      <c r="K260" s="65"/>
      <c r="L260" s="72"/>
    </row>
    <row r="261" customHeight="1" spans="1:12">
      <c r="A261" s="84" t="s">
        <v>596</v>
      </c>
      <c r="B261" s="17" t="s">
        <v>79</v>
      </c>
      <c r="C261" s="85">
        <v>1</v>
      </c>
      <c r="D261" s="86" t="s">
        <v>13</v>
      </c>
      <c r="E261" s="85"/>
      <c r="F261" s="69">
        <f t="shared" si="8"/>
        <v>306</v>
      </c>
      <c r="G261" s="69">
        <f t="shared" si="7"/>
        <v>259</v>
      </c>
      <c r="H261" s="73" t="s">
        <v>14</v>
      </c>
      <c r="I261" s="87" t="s">
        <v>597</v>
      </c>
      <c r="J261" s="64" t="s">
        <v>36</v>
      </c>
      <c r="K261" s="65"/>
      <c r="L261" s="72"/>
    </row>
    <row r="262" customHeight="1" spans="1:12">
      <c r="A262" s="84" t="s">
        <v>598</v>
      </c>
      <c r="B262" s="17" t="s">
        <v>79</v>
      </c>
      <c r="C262" s="85">
        <v>1</v>
      </c>
      <c r="D262" s="86" t="s">
        <v>13</v>
      </c>
      <c r="E262" s="85"/>
      <c r="F262" s="69">
        <f t="shared" si="8"/>
        <v>307</v>
      </c>
      <c r="G262" s="69">
        <f t="shared" si="7"/>
        <v>260</v>
      </c>
      <c r="H262" s="73" t="s">
        <v>14</v>
      </c>
      <c r="I262" s="87" t="s">
        <v>599</v>
      </c>
      <c r="J262" s="64" t="s">
        <v>36</v>
      </c>
      <c r="K262" s="65"/>
      <c r="L262" s="72"/>
    </row>
    <row r="263" customHeight="1" spans="1:12">
      <c r="A263" s="84" t="s">
        <v>600</v>
      </c>
      <c r="B263" s="17" t="s">
        <v>79</v>
      </c>
      <c r="C263" s="85">
        <v>1</v>
      </c>
      <c r="D263" s="86" t="s">
        <v>13</v>
      </c>
      <c r="E263" s="85"/>
      <c r="F263" s="69">
        <f t="shared" si="8"/>
        <v>308</v>
      </c>
      <c r="G263" s="69">
        <f t="shared" si="7"/>
        <v>261</v>
      </c>
      <c r="H263" s="73" t="s">
        <v>14</v>
      </c>
      <c r="I263" s="87" t="s">
        <v>601</v>
      </c>
      <c r="J263" s="64" t="s">
        <v>36</v>
      </c>
      <c r="K263" s="65"/>
      <c r="L263" s="72"/>
    </row>
    <row r="264" customHeight="1" spans="1:12">
      <c r="A264" s="84" t="s">
        <v>602</v>
      </c>
      <c r="B264" s="17" t="s">
        <v>79</v>
      </c>
      <c r="C264" s="85">
        <v>1</v>
      </c>
      <c r="D264" s="86" t="s">
        <v>13</v>
      </c>
      <c r="E264" s="85"/>
      <c r="F264" s="69">
        <f t="shared" si="8"/>
        <v>309</v>
      </c>
      <c r="G264" s="69">
        <f t="shared" si="7"/>
        <v>262</v>
      </c>
      <c r="H264" s="73" t="s">
        <v>14</v>
      </c>
      <c r="I264" s="87" t="s">
        <v>603</v>
      </c>
      <c r="J264" s="64" t="s">
        <v>36</v>
      </c>
      <c r="K264" s="65"/>
      <c r="L264" s="72"/>
    </row>
    <row r="265" customHeight="1" spans="1:12">
      <c r="A265" s="84" t="s">
        <v>604</v>
      </c>
      <c r="B265" s="17" t="s">
        <v>79</v>
      </c>
      <c r="C265" s="85">
        <v>1</v>
      </c>
      <c r="D265" s="86" t="s">
        <v>13</v>
      </c>
      <c r="E265" s="85"/>
      <c r="F265" s="69">
        <f t="shared" si="8"/>
        <v>310</v>
      </c>
      <c r="G265" s="69">
        <f t="shared" si="7"/>
        <v>263</v>
      </c>
      <c r="H265" s="73" t="s">
        <v>14</v>
      </c>
      <c r="I265" s="87" t="s">
        <v>605</v>
      </c>
      <c r="J265" s="64" t="s">
        <v>36</v>
      </c>
      <c r="K265" s="65"/>
      <c r="L265" s="72"/>
    </row>
    <row r="266" customHeight="1" spans="1:12">
      <c r="A266" s="84" t="s">
        <v>606</v>
      </c>
      <c r="B266" s="17" t="s">
        <v>79</v>
      </c>
      <c r="C266" s="85">
        <v>1</v>
      </c>
      <c r="D266" s="86" t="s">
        <v>13</v>
      </c>
      <c r="E266" s="85"/>
      <c r="F266" s="69">
        <f t="shared" si="8"/>
        <v>311</v>
      </c>
      <c r="G266" s="69">
        <f t="shared" ref="G266:G331" si="9">G265+1</f>
        <v>264</v>
      </c>
      <c r="H266" s="73" t="s">
        <v>14</v>
      </c>
      <c r="I266" s="87" t="s">
        <v>607</v>
      </c>
      <c r="J266" s="64" t="s">
        <v>36</v>
      </c>
      <c r="K266" s="65"/>
      <c r="L266" s="72"/>
    </row>
    <row r="267" customHeight="1" spans="1:12">
      <c r="A267" s="84" t="s">
        <v>608</v>
      </c>
      <c r="B267" s="17" t="s">
        <v>79</v>
      </c>
      <c r="C267" s="85">
        <v>1</v>
      </c>
      <c r="D267" s="86" t="s">
        <v>13</v>
      </c>
      <c r="E267" s="85"/>
      <c r="F267" s="69">
        <f t="shared" si="8"/>
        <v>312</v>
      </c>
      <c r="G267" s="69">
        <f t="shared" si="9"/>
        <v>265</v>
      </c>
      <c r="H267" s="73" t="s">
        <v>14</v>
      </c>
      <c r="I267" s="87" t="s">
        <v>609</v>
      </c>
      <c r="J267" s="64" t="s">
        <v>36</v>
      </c>
      <c r="K267" s="65"/>
      <c r="L267" s="72"/>
    </row>
    <row r="268" customHeight="1" spans="1:12">
      <c r="A268" s="84" t="s">
        <v>610</v>
      </c>
      <c r="B268" s="17" t="s">
        <v>79</v>
      </c>
      <c r="C268" s="85">
        <v>1</v>
      </c>
      <c r="D268" s="86" t="s">
        <v>13</v>
      </c>
      <c r="E268" s="85"/>
      <c r="F268" s="69">
        <f t="shared" si="8"/>
        <v>313</v>
      </c>
      <c r="G268" s="69">
        <f t="shared" si="9"/>
        <v>266</v>
      </c>
      <c r="H268" s="73" t="s">
        <v>14</v>
      </c>
      <c r="I268" s="87" t="s">
        <v>611</v>
      </c>
      <c r="J268" s="64" t="s">
        <v>36</v>
      </c>
      <c r="K268" s="65"/>
      <c r="L268" s="72"/>
    </row>
    <row r="269" customHeight="1" spans="1:12">
      <c r="A269" s="84" t="s">
        <v>612</v>
      </c>
      <c r="B269" s="17" t="s">
        <v>79</v>
      </c>
      <c r="C269" s="85">
        <v>1</v>
      </c>
      <c r="D269" s="86" t="s">
        <v>13</v>
      </c>
      <c r="E269" s="85"/>
      <c r="F269" s="69">
        <f t="shared" si="8"/>
        <v>314</v>
      </c>
      <c r="G269" s="69">
        <f t="shared" si="9"/>
        <v>267</v>
      </c>
      <c r="H269" s="73" t="s">
        <v>14</v>
      </c>
      <c r="I269" s="87" t="s">
        <v>613</v>
      </c>
      <c r="J269" s="64" t="s">
        <v>36</v>
      </c>
      <c r="K269" s="65"/>
      <c r="L269" s="72"/>
    </row>
    <row r="270" customHeight="1" spans="1:12">
      <c r="A270" s="84" t="s">
        <v>614</v>
      </c>
      <c r="B270" s="17" t="s">
        <v>79</v>
      </c>
      <c r="C270" s="85">
        <v>1</v>
      </c>
      <c r="D270" s="86" t="s">
        <v>13</v>
      </c>
      <c r="E270" s="85"/>
      <c r="F270" s="69">
        <f t="shared" si="8"/>
        <v>315</v>
      </c>
      <c r="G270" s="69">
        <f t="shared" si="9"/>
        <v>268</v>
      </c>
      <c r="H270" s="73" t="s">
        <v>14</v>
      </c>
      <c r="I270" s="87" t="s">
        <v>615</v>
      </c>
      <c r="J270" s="64" t="s">
        <v>36</v>
      </c>
      <c r="K270" s="65"/>
      <c r="L270" s="72"/>
    </row>
    <row r="271" customHeight="1" spans="1:12">
      <c r="A271" s="84" t="s">
        <v>616</v>
      </c>
      <c r="B271" s="17" t="s">
        <v>79</v>
      </c>
      <c r="C271" s="85">
        <v>1</v>
      </c>
      <c r="D271" s="86" t="s">
        <v>13</v>
      </c>
      <c r="E271" s="85"/>
      <c r="F271" s="69">
        <f t="shared" si="8"/>
        <v>316</v>
      </c>
      <c r="G271" s="69">
        <f t="shared" si="9"/>
        <v>269</v>
      </c>
      <c r="H271" s="73" t="s">
        <v>14</v>
      </c>
      <c r="I271" s="87" t="s">
        <v>617</v>
      </c>
      <c r="J271" s="64" t="s">
        <v>36</v>
      </c>
      <c r="K271" s="65"/>
      <c r="L271" s="72"/>
    </row>
    <row r="272" customHeight="1" spans="1:12">
      <c r="A272" s="84" t="s">
        <v>618</v>
      </c>
      <c r="B272" s="17" t="s">
        <v>79</v>
      </c>
      <c r="C272" s="85">
        <v>1</v>
      </c>
      <c r="D272" s="86" t="s">
        <v>13</v>
      </c>
      <c r="E272" s="85"/>
      <c r="F272" s="69">
        <f t="shared" si="8"/>
        <v>317</v>
      </c>
      <c r="G272" s="69">
        <f t="shared" si="9"/>
        <v>270</v>
      </c>
      <c r="H272" s="73" t="s">
        <v>14</v>
      </c>
      <c r="I272" s="87" t="s">
        <v>619</v>
      </c>
      <c r="J272" s="64" t="s">
        <v>36</v>
      </c>
      <c r="K272" s="65"/>
      <c r="L272" s="72"/>
    </row>
    <row r="273" customHeight="1" spans="1:12">
      <c r="A273" s="84" t="s">
        <v>620</v>
      </c>
      <c r="B273" s="17" t="s">
        <v>79</v>
      </c>
      <c r="C273" s="85">
        <v>1</v>
      </c>
      <c r="D273" s="86" t="s">
        <v>13</v>
      </c>
      <c r="E273" s="85"/>
      <c r="F273" s="69">
        <f t="shared" si="8"/>
        <v>318</v>
      </c>
      <c r="G273" s="69">
        <f t="shared" si="9"/>
        <v>271</v>
      </c>
      <c r="H273" s="73" t="s">
        <v>14</v>
      </c>
      <c r="I273" s="87" t="s">
        <v>621</v>
      </c>
      <c r="J273" s="64" t="s">
        <v>36</v>
      </c>
      <c r="K273" s="65"/>
      <c r="L273" s="72"/>
    </row>
    <row r="274" customHeight="1" spans="1:12">
      <c r="A274" s="84" t="s">
        <v>622</v>
      </c>
      <c r="B274" s="17" t="s">
        <v>79</v>
      </c>
      <c r="C274" s="85">
        <v>1</v>
      </c>
      <c r="D274" s="86" t="s">
        <v>13</v>
      </c>
      <c r="E274" s="85"/>
      <c r="F274" s="69">
        <f t="shared" si="8"/>
        <v>319</v>
      </c>
      <c r="G274" s="69">
        <f t="shared" si="9"/>
        <v>272</v>
      </c>
      <c r="H274" s="73" t="s">
        <v>14</v>
      </c>
      <c r="I274" s="87" t="s">
        <v>623</v>
      </c>
      <c r="J274" s="64" t="s">
        <v>36</v>
      </c>
      <c r="K274" s="65"/>
      <c r="L274" s="72"/>
    </row>
    <row r="275" customHeight="1" spans="1:12">
      <c r="A275" s="84" t="s">
        <v>624</v>
      </c>
      <c r="B275" s="17" t="s">
        <v>79</v>
      </c>
      <c r="C275" s="85">
        <v>1</v>
      </c>
      <c r="D275" s="86" t="s">
        <v>13</v>
      </c>
      <c r="E275" s="85"/>
      <c r="F275" s="69">
        <f t="shared" si="8"/>
        <v>320</v>
      </c>
      <c r="G275" s="69">
        <f t="shared" si="9"/>
        <v>273</v>
      </c>
      <c r="H275" s="73" t="s">
        <v>14</v>
      </c>
      <c r="I275" s="87" t="s">
        <v>625</v>
      </c>
      <c r="J275" s="64" t="s">
        <v>36</v>
      </c>
      <c r="K275" s="65"/>
      <c r="L275" s="72"/>
    </row>
    <row r="276" customHeight="1" spans="1:12">
      <c r="A276" s="84" t="s">
        <v>626</v>
      </c>
      <c r="B276" s="17" t="s">
        <v>79</v>
      </c>
      <c r="C276" s="85">
        <v>1</v>
      </c>
      <c r="D276" s="86" t="s">
        <v>13</v>
      </c>
      <c r="E276" s="85"/>
      <c r="F276" s="69">
        <f t="shared" si="8"/>
        <v>321</v>
      </c>
      <c r="G276" s="69">
        <f t="shared" si="9"/>
        <v>274</v>
      </c>
      <c r="H276" s="73" t="s">
        <v>14</v>
      </c>
      <c r="I276" s="87" t="s">
        <v>627</v>
      </c>
      <c r="J276" s="64" t="s">
        <v>36</v>
      </c>
      <c r="K276" s="65"/>
      <c r="L276" s="72"/>
    </row>
    <row r="277" customHeight="1" spans="1:12">
      <c r="A277" s="84" t="s">
        <v>628</v>
      </c>
      <c r="B277" s="17" t="s">
        <v>79</v>
      </c>
      <c r="C277" s="85">
        <v>1</v>
      </c>
      <c r="D277" s="86" t="s">
        <v>13</v>
      </c>
      <c r="E277" s="85"/>
      <c r="F277" s="69">
        <f t="shared" si="8"/>
        <v>322</v>
      </c>
      <c r="G277" s="69">
        <f t="shared" si="9"/>
        <v>275</v>
      </c>
      <c r="H277" s="73" t="s">
        <v>14</v>
      </c>
      <c r="I277" s="87" t="s">
        <v>629</v>
      </c>
      <c r="J277" s="64" t="s">
        <v>36</v>
      </c>
      <c r="K277" s="65"/>
      <c r="L277" s="72"/>
    </row>
    <row r="278" customHeight="1" spans="1:12">
      <c r="A278" s="84" t="s">
        <v>630</v>
      </c>
      <c r="B278" s="17" t="s">
        <v>79</v>
      </c>
      <c r="C278" s="85">
        <v>1</v>
      </c>
      <c r="D278" s="86" t="s">
        <v>13</v>
      </c>
      <c r="E278" s="85"/>
      <c r="F278" s="69">
        <f t="shared" si="8"/>
        <v>323</v>
      </c>
      <c r="G278" s="69">
        <f t="shared" si="9"/>
        <v>276</v>
      </c>
      <c r="H278" s="73" t="s">
        <v>14</v>
      </c>
      <c r="I278" s="87" t="s">
        <v>631</v>
      </c>
      <c r="J278" s="64" t="s">
        <v>36</v>
      </c>
      <c r="K278" s="65"/>
      <c r="L278" s="72"/>
    </row>
    <row r="279" customHeight="1" spans="1:12">
      <c r="A279" s="84" t="s">
        <v>632</v>
      </c>
      <c r="B279" s="17" t="s">
        <v>79</v>
      </c>
      <c r="C279" s="85">
        <v>1</v>
      </c>
      <c r="D279" s="86" t="s">
        <v>13</v>
      </c>
      <c r="E279" s="85"/>
      <c r="F279" s="69">
        <f t="shared" si="8"/>
        <v>324</v>
      </c>
      <c r="G279" s="69">
        <f t="shared" si="9"/>
        <v>277</v>
      </c>
      <c r="H279" s="73" t="s">
        <v>14</v>
      </c>
      <c r="I279" s="87" t="s">
        <v>633</v>
      </c>
      <c r="J279" s="64" t="s">
        <v>36</v>
      </c>
      <c r="K279" s="65"/>
      <c r="L279" s="72"/>
    </row>
    <row r="280" customHeight="1" spans="1:12">
      <c r="A280" s="84" t="s">
        <v>634</v>
      </c>
      <c r="B280" s="17" t="s">
        <v>79</v>
      </c>
      <c r="C280" s="85">
        <v>1</v>
      </c>
      <c r="D280" s="86" t="s">
        <v>13</v>
      </c>
      <c r="E280" s="85"/>
      <c r="F280" s="69">
        <f t="shared" si="8"/>
        <v>325</v>
      </c>
      <c r="G280" s="69">
        <f t="shared" si="9"/>
        <v>278</v>
      </c>
      <c r="H280" s="73" t="s">
        <v>14</v>
      </c>
      <c r="I280" s="87" t="s">
        <v>635</v>
      </c>
      <c r="J280" s="64" t="s">
        <v>36</v>
      </c>
      <c r="K280" s="65"/>
      <c r="L280" s="72"/>
    </row>
    <row r="281" customHeight="1" spans="1:12">
      <c r="A281" s="84" t="s">
        <v>636</v>
      </c>
      <c r="B281" s="17" t="s">
        <v>79</v>
      </c>
      <c r="C281" s="85">
        <v>1</v>
      </c>
      <c r="D281" s="86" t="s">
        <v>13</v>
      </c>
      <c r="E281" s="85"/>
      <c r="F281" s="69">
        <f t="shared" si="8"/>
        <v>326</v>
      </c>
      <c r="G281" s="69">
        <f t="shared" si="9"/>
        <v>279</v>
      </c>
      <c r="H281" s="73" t="s">
        <v>14</v>
      </c>
      <c r="I281" s="87" t="s">
        <v>637</v>
      </c>
      <c r="J281" s="64" t="s">
        <v>36</v>
      </c>
      <c r="K281" s="65"/>
      <c r="L281" s="72"/>
    </row>
    <row r="282" customHeight="1" spans="1:12">
      <c r="A282" s="84" t="s">
        <v>638</v>
      </c>
      <c r="B282" s="17" t="s">
        <v>79</v>
      </c>
      <c r="C282" s="85">
        <v>1</v>
      </c>
      <c r="D282" s="86" t="s">
        <v>13</v>
      </c>
      <c r="E282" s="85"/>
      <c r="F282" s="69">
        <f t="shared" si="8"/>
        <v>327</v>
      </c>
      <c r="G282" s="69">
        <f t="shared" si="9"/>
        <v>280</v>
      </c>
      <c r="H282" s="73" t="s">
        <v>14</v>
      </c>
      <c r="I282" s="87" t="s">
        <v>639</v>
      </c>
      <c r="J282" s="64" t="s">
        <v>36</v>
      </c>
      <c r="K282" s="65"/>
      <c r="L282" s="72"/>
    </row>
    <row r="283" customHeight="1" spans="1:12">
      <c r="A283" s="84" t="s">
        <v>640</v>
      </c>
      <c r="B283" s="17" t="s">
        <v>79</v>
      </c>
      <c r="C283" s="85">
        <v>1</v>
      </c>
      <c r="D283" s="86" t="s">
        <v>13</v>
      </c>
      <c r="E283" s="85"/>
      <c r="F283" s="69">
        <f t="shared" si="8"/>
        <v>328</v>
      </c>
      <c r="G283" s="69">
        <f t="shared" si="9"/>
        <v>281</v>
      </c>
      <c r="H283" s="73" t="s">
        <v>14</v>
      </c>
      <c r="I283" s="87" t="s">
        <v>641</v>
      </c>
      <c r="J283" s="64" t="s">
        <v>36</v>
      </c>
      <c r="K283" s="65"/>
      <c r="L283" s="72"/>
    </row>
    <row r="284" customHeight="1" spans="1:12">
      <c r="A284" s="84" t="s">
        <v>642</v>
      </c>
      <c r="B284" s="17" t="s">
        <v>79</v>
      </c>
      <c r="C284" s="85">
        <v>1</v>
      </c>
      <c r="D284" s="86" t="s">
        <v>13</v>
      </c>
      <c r="E284" s="85"/>
      <c r="F284" s="69">
        <f t="shared" si="8"/>
        <v>329</v>
      </c>
      <c r="G284" s="69">
        <f t="shared" si="9"/>
        <v>282</v>
      </c>
      <c r="H284" s="73" t="s">
        <v>14</v>
      </c>
      <c r="I284" s="87" t="s">
        <v>643</v>
      </c>
      <c r="J284" s="64" t="s">
        <v>36</v>
      </c>
      <c r="K284" s="65"/>
      <c r="L284" s="72"/>
    </row>
    <row r="285" customHeight="1" spans="1:12">
      <c r="A285" s="84" t="s">
        <v>644</v>
      </c>
      <c r="B285" s="17" t="s">
        <v>79</v>
      </c>
      <c r="C285" s="85">
        <v>1</v>
      </c>
      <c r="D285" s="86" t="s">
        <v>13</v>
      </c>
      <c r="E285" s="85"/>
      <c r="F285" s="69">
        <f t="shared" si="8"/>
        <v>330</v>
      </c>
      <c r="G285" s="69">
        <f t="shared" si="9"/>
        <v>283</v>
      </c>
      <c r="H285" s="73" t="s">
        <v>14</v>
      </c>
      <c r="I285" s="87" t="s">
        <v>645</v>
      </c>
      <c r="J285" s="64" t="s">
        <v>36</v>
      </c>
      <c r="K285" s="65"/>
      <c r="L285" s="72"/>
    </row>
    <row r="286" customHeight="1" spans="1:12">
      <c r="A286" s="84" t="s">
        <v>646</v>
      </c>
      <c r="B286" s="17" t="s">
        <v>79</v>
      </c>
      <c r="C286" s="85">
        <v>1</v>
      </c>
      <c r="D286" s="86" t="s">
        <v>13</v>
      </c>
      <c r="E286" s="85"/>
      <c r="F286" s="69">
        <f t="shared" si="8"/>
        <v>331</v>
      </c>
      <c r="G286" s="69">
        <f t="shared" si="9"/>
        <v>284</v>
      </c>
      <c r="H286" s="73" t="s">
        <v>14</v>
      </c>
      <c r="I286" s="87" t="s">
        <v>647</v>
      </c>
      <c r="J286" s="64" t="s">
        <v>36</v>
      </c>
      <c r="K286" s="65"/>
      <c r="L286" s="72"/>
    </row>
    <row r="287" customHeight="1" spans="1:12">
      <c r="A287" s="84" t="s">
        <v>648</v>
      </c>
      <c r="B287" s="17" t="s">
        <v>79</v>
      </c>
      <c r="C287" s="85">
        <v>1</v>
      </c>
      <c r="D287" s="86" t="s">
        <v>13</v>
      </c>
      <c r="E287" s="85"/>
      <c r="F287" s="69">
        <f t="shared" si="8"/>
        <v>332</v>
      </c>
      <c r="G287" s="69">
        <f t="shared" si="9"/>
        <v>285</v>
      </c>
      <c r="H287" s="73" t="s">
        <v>14</v>
      </c>
      <c r="I287" s="87" t="s">
        <v>649</v>
      </c>
      <c r="J287" s="64" t="s">
        <v>36</v>
      </c>
      <c r="K287" s="65"/>
      <c r="L287" s="72"/>
    </row>
    <row r="288" customHeight="1" spans="1:12">
      <c r="A288" s="84" t="s">
        <v>650</v>
      </c>
      <c r="B288" s="17" t="s">
        <v>79</v>
      </c>
      <c r="C288" s="85">
        <v>1</v>
      </c>
      <c r="D288" s="86" t="s">
        <v>13</v>
      </c>
      <c r="E288" s="85"/>
      <c r="F288" s="69">
        <f t="shared" si="8"/>
        <v>333</v>
      </c>
      <c r="G288" s="69">
        <f t="shared" si="9"/>
        <v>286</v>
      </c>
      <c r="H288" s="73" t="s">
        <v>14</v>
      </c>
      <c r="I288" s="87" t="s">
        <v>651</v>
      </c>
      <c r="J288" s="64" t="s">
        <v>36</v>
      </c>
      <c r="K288" s="65"/>
      <c r="L288" s="72"/>
    </row>
    <row r="289" customHeight="1" spans="1:12">
      <c r="A289" s="84" t="s">
        <v>652</v>
      </c>
      <c r="B289" s="17" t="s">
        <v>79</v>
      </c>
      <c r="C289" s="85">
        <v>1</v>
      </c>
      <c r="D289" s="86" t="s">
        <v>13</v>
      </c>
      <c r="E289" s="85"/>
      <c r="F289" s="69">
        <f t="shared" si="8"/>
        <v>334</v>
      </c>
      <c r="G289" s="69">
        <f t="shared" si="9"/>
        <v>287</v>
      </c>
      <c r="H289" s="73" t="s">
        <v>14</v>
      </c>
      <c r="I289" s="87" t="s">
        <v>653</v>
      </c>
      <c r="J289" s="64" t="s">
        <v>36</v>
      </c>
      <c r="K289" s="65"/>
      <c r="L289" s="72"/>
    </row>
    <row r="290" customHeight="1" spans="1:12">
      <c r="A290" s="84" t="s">
        <v>654</v>
      </c>
      <c r="B290" s="17" t="s">
        <v>79</v>
      </c>
      <c r="C290" s="85">
        <v>1</v>
      </c>
      <c r="D290" s="86" t="s">
        <v>13</v>
      </c>
      <c r="E290" s="85"/>
      <c r="F290" s="69">
        <f t="shared" si="8"/>
        <v>335</v>
      </c>
      <c r="G290" s="69">
        <f t="shared" si="9"/>
        <v>288</v>
      </c>
      <c r="H290" s="73" t="s">
        <v>14</v>
      </c>
      <c r="I290" s="87" t="s">
        <v>655</v>
      </c>
      <c r="J290" s="64" t="s">
        <v>36</v>
      </c>
      <c r="K290" s="65"/>
      <c r="L290" s="72"/>
    </row>
    <row r="291" customHeight="1" spans="1:12">
      <c r="A291" s="84" t="s">
        <v>656</v>
      </c>
      <c r="B291" s="17" t="s">
        <v>79</v>
      </c>
      <c r="C291" s="85">
        <v>1</v>
      </c>
      <c r="D291" s="86" t="s">
        <v>13</v>
      </c>
      <c r="E291" s="85"/>
      <c r="F291" s="69">
        <f t="shared" si="8"/>
        <v>336</v>
      </c>
      <c r="G291" s="69">
        <f t="shared" si="9"/>
        <v>289</v>
      </c>
      <c r="H291" s="73" t="s">
        <v>14</v>
      </c>
      <c r="I291" s="87" t="s">
        <v>657</v>
      </c>
      <c r="J291" s="64" t="s">
        <v>36</v>
      </c>
      <c r="K291" s="65"/>
      <c r="L291" s="72"/>
    </row>
    <row r="292" customHeight="1" spans="1:12">
      <c r="A292" s="84" t="s">
        <v>658</v>
      </c>
      <c r="B292" s="17" t="s">
        <v>79</v>
      </c>
      <c r="C292" s="85">
        <v>1</v>
      </c>
      <c r="D292" s="86" t="s">
        <v>13</v>
      </c>
      <c r="E292" s="85"/>
      <c r="F292" s="69">
        <f t="shared" si="8"/>
        <v>337</v>
      </c>
      <c r="G292" s="69">
        <f t="shared" si="9"/>
        <v>290</v>
      </c>
      <c r="H292" s="73" t="s">
        <v>14</v>
      </c>
      <c r="I292" s="87" t="s">
        <v>659</v>
      </c>
      <c r="J292" s="64" t="s">
        <v>36</v>
      </c>
      <c r="K292" s="65"/>
      <c r="L292" s="72"/>
    </row>
    <row r="293" customHeight="1" spans="1:12">
      <c r="A293" s="84" t="s">
        <v>660</v>
      </c>
      <c r="B293" s="17" t="s">
        <v>79</v>
      </c>
      <c r="C293" s="85">
        <v>1</v>
      </c>
      <c r="D293" s="86" t="s">
        <v>13</v>
      </c>
      <c r="E293" s="85"/>
      <c r="F293" s="69">
        <f t="shared" si="8"/>
        <v>338</v>
      </c>
      <c r="G293" s="69">
        <f t="shared" si="9"/>
        <v>291</v>
      </c>
      <c r="H293" s="73" t="s">
        <v>14</v>
      </c>
      <c r="I293" s="87" t="s">
        <v>661</v>
      </c>
      <c r="J293" s="64" t="s">
        <v>36</v>
      </c>
      <c r="K293" s="65"/>
      <c r="L293" s="72"/>
    </row>
    <row r="294" customHeight="1" spans="1:12">
      <c r="A294" s="84" t="s">
        <v>662</v>
      </c>
      <c r="B294" s="17" t="s">
        <v>79</v>
      </c>
      <c r="C294" s="85">
        <v>1</v>
      </c>
      <c r="D294" s="86" t="s">
        <v>13</v>
      </c>
      <c r="E294" s="85"/>
      <c r="F294" s="69">
        <f t="shared" si="8"/>
        <v>339</v>
      </c>
      <c r="G294" s="69">
        <f t="shared" si="9"/>
        <v>292</v>
      </c>
      <c r="H294" s="73" t="s">
        <v>14</v>
      </c>
      <c r="I294" s="87" t="s">
        <v>663</v>
      </c>
      <c r="J294" s="64" t="s">
        <v>36</v>
      </c>
      <c r="K294" s="65"/>
      <c r="L294" s="72"/>
    </row>
    <row r="295" customHeight="1" spans="1:12">
      <c r="A295" s="84" t="s">
        <v>664</v>
      </c>
      <c r="B295" s="17" t="s">
        <v>79</v>
      </c>
      <c r="C295" s="85">
        <v>1</v>
      </c>
      <c r="D295" s="86" t="s">
        <v>13</v>
      </c>
      <c r="E295" s="85"/>
      <c r="F295" s="69">
        <f t="shared" si="8"/>
        <v>340</v>
      </c>
      <c r="G295" s="69">
        <f t="shared" si="9"/>
        <v>293</v>
      </c>
      <c r="H295" s="73" t="s">
        <v>14</v>
      </c>
      <c r="I295" s="87" t="s">
        <v>665</v>
      </c>
      <c r="J295" s="64" t="s">
        <v>36</v>
      </c>
      <c r="K295" s="65"/>
      <c r="L295" s="72"/>
    </row>
    <row r="296" customHeight="1" spans="1:12">
      <c r="A296" s="84" t="s">
        <v>666</v>
      </c>
      <c r="B296" s="17" t="s">
        <v>79</v>
      </c>
      <c r="C296" s="85">
        <v>1</v>
      </c>
      <c r="D296" s="86" t="s">
        <v>13</v>
      </c>
      <c r="E296" s="85"/>
      <c r="F296" s="69">
        <f t="shared" si="8"/>
        <v>341</v>
      </c>
      <c r="G296" s="69">
        <f t="shared" si="9"/>
        <v>294</v>
      </c>
      <c r="H296" s="73" t="s">
        <v>14</v>
      </c>
      <c r="I296" s="87" t="s">
        <v>667</v>
      </c>
      <c r="J296" s="64" t="s">
        <v>36</v>
      </c>
      <c r="K296" s="65"/>
      <c r="L296" s="72"/>
    </row>
    <row r="297" customHeight="1" spans="1:12">
      <c r="A297" s="84" t="s">
        <v>668</v>
      </c>
      <c r="B297" s="17" t="s">
        <v>79</v>
      </c>
      <c r="C297" s="85">
        <v>1</v>
      </c>
      <c r="D297" s="86" t="s">
        <v>13</v>
      </c>
      <c r="E297" s="85"/>
      <c r="F297" s="69">
        <f t="shared" si="8"/>
        <v>342</v>
      </c>
      <c r="G297" s="69">
        <f t="shared" si="9"/>
        <v>295</v>
      </c>
      <c r="H297" s="73" t="s">
        <v>14</v>
      </c>
      <c r="I297" s="87" t="s">
        <v>669</v>
      </c>
      <c r="J297" s="64" t="s">
        <v>36</v>
      </c>
      <c r="K297" s="65"/>
      <c r="L297" s="72"/>
    </row>
    <row r="298" customHeight="1" spans="1:12">
      <c r="A298" s="84" t="s">
        <v>670</v>
      </c>
      <c r="B298" s="17" t="s">
        <v>79</v>
      </c>
      <c r="C298" s="85">
        <v>1</v>
      </c>
      <c r="D298" s="86" t="s">
        <v>13</v>
      </c>
      <c r="E298" s="85"/>
      <c r="F298" s="69">
        <f t="shared" si="8"/>
        <v>343</v>
      </c>
      <c r="G298" s="69">
        <f t="shared" si="9"/>
        <v>296</v>
      </c>
      <c r="H298" s="73" t="s">
        <v>14</v>
      </c>
      <c r="I298" s="87" t="s">
        <v>671</v>
      </c>
      <c r="J298" s="64" t="s">
        <v>36</v>
      </c>
      <c r="K298" s="65"/>
      <c r="L298" s="72"/>
    </row>
    <row r="299" customHeight="1" spans="1:12">
      <c r="A299" s="84" t="s">
        <v>672</v>
      </c>
      <c r="B299" s="17" t="s">
        <v>79</v>
      </c>
      <c r="C299" s="85">
        <v>1</v>
      </c>
      <c r="D299" s="86" t="s">
        <v>13</v>
      </c>
      <c r="E299" s="85"/>
      <c r="F299" s="69">
        <f t="shared" si="8"/>
        <v>344</v>
      </c>
      <c r="G299" s="69">
        <f t="shared" si="9"/>
        <v>297</v>
      </c>
      <c r="H299" s="73" t="s">
        <v>14</v>
      </c>
      <c r="I299" s="87" t="s">
        <v>673</v>
      </c>
      <c r="J299" s="64" t="s">
        <v>36</v>
      </c>
      <c r="K299" s="65"/>
      <c r="L299" s="72"/>
    </row>
    <row r="300" customHeight="1" spans="1:12">
      <c r="A300" s="84" t="s">
        <v>674</v>
      </c>
      <c r="B300" s="17" t="s">
        <v>79</v>
      </c>
      <c r="C300" s="85">
        <v>1</v>
      </c>
      <c r="D300" s="86" t="s">
        <v>13</v>
      </c>
      <c r="E300" s="85"/>
      <c r="F300" s="69">
        <f t="shared" si="8"/>
        <v>345</v>
      </c>
      <c r="G300" s="69">
        <f t="shared" si="9"/>
        <v>298</v>
      </c>
      <c r="H300" s="73" t="s">
        <v>14</v>
      </c>
      <c r="I300" s="87" t="s">
        <v>675</v>
      </c>
      <c r="J300" s="64" t="s">
        <v>36</v>
      </c>
      <c r="K300" s="65"/>
      <c r="L300" s="72"/>
    </row>
    <row r="301" customHeight="1" spans="1:12">
      <c r="A301" s="84" t="s">
        <v>676</v>
      </c>
      <c r="B301" s="17" t="s">
        <v>79</v>
      </c>
      <c r="C301" s="85">
        <v>1</v>
      </c>
      <c r="D301" s="86" t="s">
        <v>13</v>
      </c>
      <c r="E301" s="85"/>
      <c r="F301" s="69">
        <f t="shared" si="8"/>
        <v>346</v>
      </c>
      <c r="G301" s="69">
        <f t="shared" si="9"/>
        <v>299</v>
      </c>
      <c r="H301" s="73" t="s">
        <v>14</v>
      </c>
      <c r="I301" s="87" t="s">
        <v>677</v>
      </c>
      <c r="J301" s="64" t="s">
        <v>36</v>
      </c>
      <c r="K301" s="65"/>
      <c r="L301" s="72"/>
    </row>
    <row r="302" customHeight="1" spans="1:12">
      <c r="A302" s="84" t="s">
        <v>678</v>
      </c>
      <c r="B302" s="17" t="s">
        <v>79</v>
      </c>
      <c r="C302" s="85">
        <v>1</v>
      </c>
      <c r="D302" s="86" t="s">
        <v>13</v>
      </c>
      <c r="E302" s="85"/>
      <c r="F302" s="69">
        <f t="shared" si="8"/>
        <v>347</v>
      </c>
      <c r="G302" s="69">
        <f t="shared" si="9"/>
        <v>300</v>
      </c>
      <c r="H302" s="73" t="s">
        <v>14</v>
      </c>
      <c r="I302" s="87" t="s">
        <v>679</v>
      </c>
      <c r="J302" s="64" t="s">
        <v>36</v>
      </c>
      <c r="K302" s="65"/>
      <c r="L302" s="72"/>
    </row>
    <row r="303" customHeight="1" spans="1:12">
      <c r="A303" s="84" t="s">
        <v>680</v>
      </c>
      <c r="B303" s="17" t="s">
        <v>79</v>
      </c>
      <c r="C303" s="85">
        <v>1</v>
      </c>
      <c r="D303" s="86" t="s">
        <v>13</v>
      </c>
      <c r="E303" s="85"/>
      <c r="F303" s="69">
        <f t="shared" si="8"/>
        <v>348</v>
      </c>
      <c r="G303" s="69">
        <f t="shared" si="9"/>
        <v>301</v>
      </c>
      <c r="H303" s="73" t="s">
        <v>14</v>
      </c>
      <c r="I303" s="87" t="s">
        <v>681</v>
      </c>
      <c r="J303" s="64" t="s">
        <v>36</v>
      </c>
      <c r="K303" s="65"/>
      <c r="L303" s="83"/>
    </row>
    <row r="304" customHeight="1" spans="1:12">
      <c r="A304" s="123" t="s">
        <v>682</v>
      </c>
      <c r="B304" s="123" t="s">
        <v>30</v>
      </c>
      <c r="C304" s="126">
        <v>1</v>
      </c>
      <c r="D304" s="131" t="s">
        <v>13</v>
      </c>
      <c r="E304" s="126"/>
      <c r="F304" s="116">
        <f t="shared" si="8"/>
        <v>349</v>
      </c>
      <c r="G304" s="116">
        <f t="shared" si="9"/>
        <v>302</v>
      </c>
      <c r="H304" s="127" t="s">
        <v>14</v>
      </c>
      <c r="I304" s="132" t="s">
        <v>683</v>
      </c>
      <c r="J304" s="129"/>
      <c r="K304" s="123"/>
      <c r="L304" s="66" t="s">
        <v>684</v>
      </c>
    </row>
    <row r="305" customHeight="1" spans="1:12">
      <c r="A305" s="17" t="s">
        <v>685</v>
      </c>
      <c r="B305" s="17" t="s">
        <v>79</v>
      </c>
      <c r="C305" s="85">
        <v>1</v>
      </c>
      <c r="D305" s="86" t="s">
        <v>13</v>
      </c>
      <c r="E305" s="85"/>
      <c r="F305" s="69">
        <f t="shared" si="8"/>
        <v>350</v>
      </c>
      <c r="G305" s="69">
        <f t="shared" si="9"/>
        <v>303</v>
      </c>
      <c r="H305" s="73" t="s">
        <v>14</v>
      </c>
      <c r="I305" s="112" t="s">
        <v>686</v>
      </c>
      <c r="J305" s="64"/>
      <c r="L305" s="72"/>
    </row>
    <row r="306" customHeight="1" spans="1:12">
      <c r="A306" s="17" t="s">
        <v>687</v>
      </c>
      <c r="B306" s="17" t="s">
        <v>688</v>
      </c>
      <c r="C306" s="85">
        <v>1</v>
      </c>
      <c r="D306" s="86" t="s">
        <v>13</v>
      </c>
      <c r="E306" s="85"/>
      <c r="F306" s="69">
        <f t="shared" si="8"/>
        <v>351</v>
      </c>
      <c r="G306" s="69">
        <f t="shared" si="9"/>
        <v>304</v>
      </c>
      <c r="H306" s="133" t="s">
        <v>14</v>
      </c>
      <c r="I306" s="112" t="s">
        <v>689</v>
      </c>
      <c r="J306" s="64" t="s">
        <v>36</v>
      </c>
      <c r="L306" s="72"/>
    </row>
    <row r="307" customHeight="1" spans="1:12">
      <c r="A307" s="17" t="s">
        <v>690</v>
      </c>
      <c r="B307" s="17" t="s">
        <v>79</v>
      </c>
      <c r="C307" s="85">
        <v>1</v>
      </c>
      <c r="D307" s="86" t="s">
        <v>13</v>
      </c>
      <c r="E307" s="85"/>
      <c r="F307" s="69">
        <f t="shared" si="8"/>
        <v>352</v>
      </c>
      <c r="G307" s="69">
        <f t="shared" si="9"/>
        <v>305</v>
      </c>
      <c r="H307" s="73" t="s">
        <v>14</v>
      </c>
      <c r="I307" s="112" t="s">
        <v>691</v>
      </c>
      <c r="J307" s="64"/>
      <c r="L307" s="72"/>
    </row>
    <row r="308" customHeight="1" spans="1:12">
      <c r="A308" s="17" t="s">
        <v>692</v>
      </c>
      <c r="B308" s="17" t="s">
        <v>693</v>
      </c>
      <c r="C308" s="85">
        <v>1</v>
      </c>
      <c r="D308" s="86" t="s">
        <v>13</v>
      </c>
      <c r="E308" s="85"/>
      <c r="F308" s="69">
        <f t="shared" si="8"/>
        <v>353</v>
      </c>
      <c r="G308" s="69">
        <f t="shared" si="9"/>
        <v>306</v>
      </c>
      <c r="H308" s="73" t="s">
        <v>14</v>
      </c>
      <c r="I308" s="112" t="s">
        <v>694</v>
      </c>
      <c r="J308" s="64" t="s">
        <v>36</v>
      </c>
      <c r="L308" s="72"/>
    </row>
    <row r="309" customHeight="1" spans="1:12">
      <c r="A309" s="17" t="s">
        <v>695</v>
      </c>
      <c r="B309" s="17" t="s">
        <v>79</v>
      </c>
      <c r="C309" s="85">
        <v>1</v>
      </c>
      <c r="D309" s="86" t="s">
        <v>13</v>
      </c>
      <c r="E309" s="85"/>
      <c r="F309" s="69">
        <f t="shared" si="8"/>
        <v>354</v>
      </c>
      <c r="G309" s="69">
        <f t="shared" si="9"/>
        <v>307</v>
      </c>
      <c r="H309" s="73" t="s">
        <v>14</v>
      </c>
      <c r="I309" s="112" t="s">
        <v>696</v>
      </c>
      <c r="J309" s="64"/>
      <c r="L309" s="72"/>
    </row>
    <row r="310" customHeight="1" spans="1:12">
      <c r="A310" s="17" t="s">
        <v>697</v>
      </c>
      <c r="B310" s="17" t="s">
        <v>693</v>
      </c>
      <c r="C310" s="85">
        <v>1</v>
      </c>
      <c r="D310" s="86" t="s">
        <v>13</v>
      </c>
      <c r="E310" s="85"/>
      <c r="F310" s="69">
        <f t="shared" si="8"/>
        <v>355</v>
      </c>
      <c r="G310" s="69">
        <f t="shared" si="9"/>
        <v>308</v>
      </c>
      <c r="H310" s="73" t="s">
        <v>14</v>
      </c>
      <c r="I310" s="112" t="s">
        <v>698</v>
      </c>
      <c r="J310" s="64" t="s">
        <v>36</v>
      </c>
      <c r="L310" s="72"/>
    </row>
    <row r="311" customHeight="1" spans="1:12">
      <c r="A311" s="17" t="s">
        <v>699</v>
      </c>
      <c r="B311" s="17" t="s">
        <v>79</v>
      </c>
      <c r="C311" s="85">
        <v>1</v>
      </c>
      <c r="D311" s="86" t="s">
        <v>13</v>
      </c>
      <c r="E311" s="85"/>
      <c r="F311" s="69">
        <f t="shared" si="8"/>
        <v>356</v>
      </c>
      <c r="G311" s="69">
        <f t="shared" si="9"/>
        <v>309</v>
      </c>
      <c r="H311" s="73" t="s">
        <v>14</v>
      </c>
      <c r="I311" s="112" t="s">
        <v>700</v>
      </c>
      <c r="J311" s="64"/>
      <c r="L311" s="72"/>
    </row>
    <row r="312" customHeight="1" spans="1:12">
      <c r="A312" s="17" t="s">
        <v>701</v>
      </c>
      <c r="B312" s="17" t="s">
        <v>688</v>
      </c>
      <c r="C312" s="85">
        <v>1</v>
      </c>
      <c r="D312" s="86" t="s">
        <v>13</v>
      </c>
      <c r="E312" s="85"/>
      <c r="F312" s="69">
        <f t="shared" si="8"/>
        <v>357</v>
      </c>
      <c r="G312" s="69">
        <f t="shared" si="9"/>
        <v>310</v>
      </c>
      <c r="H312" s="73" t="s">
        <v>14</v>
      </c>
      <c r="I312" s="112" t="s">
        <v>702</v>
      </c>
      <c r="J312" s="64" t="s">
        <v>36</v>
      </c>
      <c r="L312" s="72"/>
    </row>
    <row r="313" customHeight="1" spans="1:12">
      <c r="A313" s="17" t="s">
        <v>703</v>
      </c>
      <c r="B313" s="17" t="s">
        <v>79</v>
      </c>
      <c r="C313" s="85">
        <v>1</v>
      </c>
      <c r="D313" s="86" t="s">
        <v>13</v>
      </c>
      <c r="E313" s="85"/>
      <c r="F313" s="69">
        <f t="shared" si="8"/>
        <v>358</v>
      </c>
      <c r="G313" s="69">
        <f t="shared" si="9"/>
        <v>311</v>
      </c>
      <c r="H313" s="73" t="s">
        <v>14</v>
      </c>
      <c r="I313" s="112" t="s">
        <v>704</v>
      </c>
      <c r="J313" s="64"/>
      <c r="L313" s="72"/>
    </row>
    <row r="314" customHeight="1" spans="1:12">
      <c r="A314" s="17" t="s">
        <v>705</v>
      </c>
      <c r="B314" s="17" t="s">
        <v>706</v>
      </c>
      <c r="C314" s="85">
        <v>1</v>
      </c>
      <c r="D314" s="86" t="s">
        <v>13</v>
      </c>
      <c r="E314" s="85"/>
      <c r="F314" s="69">
        <f t="shared" si="8"/>
        <v>359</v>
      </c>
      <c r="G314" s="69">
        <f t="shared" si="9"/>
        <v>312</v>
      </c>
      <c r="H314" s="73" t="s">
        <v>14</v>
      </c>
      <c r="I314" s="112" t="s">
        <v>707</v>
      </c>
      <c r="J314" s="64" t="s">
        <v>36</v>
      </c>
      <c r="L314" s="72"/>
    </row>
    <row r="315" customHeight="1" spans="1:12">
      <c r="A315" s="17" t="s">
        <v>708</v>
      </c>
      <c r="B315" s="17" t="s">
        <v>79</v>
      </c>
      <c r="C315" s="85">
        <v>1</v>
      </c>
      <c r="D315" s="86" t="s">
        <v>13</v>
      </c>
      <c r="E315" s="85"/>
      <c r="F315" s="69">
        <f t="shared" si="8"/>
        <v>360</v>
      </c>
      <c r="G315" s="69">
        <f t="shared" si="9"/>
        <v>313</v>
      </c>
      <c r="H315" s="73" t="s">
        <v>14</v>
      </c>
      <c r="I315" s="112" t="s">
        <v>709</v>
      </c>
      <c r="J315" s="64" t="s">
        <v>36</v>
      </c>
      <c r="L315" s="72"/>
    </row>
    <row r="316" customHeight="1" spans="1:12">
      <c r="A316" s="17" t="s">
        <v>710</v>
      </c>
      <c r="B316" s="17" t="s">
        <v>711</v>
      </c>
      <c r="C316" s="85">
        <v>1</v>
      </c>
      <c r="D316" s="86" t="s">
        <v>13</v>
      </c>
      <c r="E316" s="85"/>
      <c r="F316" s="69">
        <f t="shared" si="8"/>
        <v>361</v>
      </c>
      <c r="G316" s="69">
        <f t="shared" si="9"/>
        <v>314</v>
      </c>
      <c r="H316" s="73" t="s">
        <v>14</v>
      </c>
      <c r="I316" s="112" t="s">
        <v>712</v>
      </c>
      <c r="J316" s="64" t="s">
        <v>36</v>
      </c>
      <c r="L316" s="72"/>
    </row>
    <row r="317" customHeight="1" spans="1:12">
      <c r="A317" s="17" t="s">
        <v>713</v>
      </c>
      <c r="B317" s="17" t="s">
        <v>79</v>
      </c>
      <c r="C317" s="85">
        <v>1</v>
      </c>
      <c r="D317" s="86" t="s">
        <v>13</v>
      </c>
      <c r="E317" s="85"/>
      <c r="F317" s="69">
        <f t="shared" si="8"/>
        <v>362</v>
      </c>
      <c r="G317" s="69">
        <f t="shared" si="9"/>
        <v>315</v>
      </c>
      <c r="H317" s="73" t="s">
        <v>14</v>
      </c>
      <c r="I317" s="112" t="s">
        <v>714</v>
      </c>
      <c r="J317" s="64" t="s">
        <v>36</v>
      </c>
      <c r="L317" s="72"/>
    </row>
    <row r="318" customHeight="1" spans="1:12">
      <c r="A318" s="17" t="s">
        <v>715</v>
      </c>
      <c r="B318" s="17" t="s">
        <v>688</v>
      </c>
      <c r="C318" s="85">
        <v>1</v>
      </c>
      <c r="D318" s="86" t="s">
        <v>13</v>
      </c>
      <c r="E318" s="85"/>
      <c r="F318" s="69">
        <f t="shared" si="8"/>
        <v>363</v>
      </c>
      <c r="G318" s="69">
        <f t="shared" si="9"/>
        <v>316</v>
      </c>
      <c r="H318" s="73" t="s">
        <v>14</v>
      </c>
      <c r="I318" s="112" t="s">
        <v>716</v>
      </c>
      <c r="J318" s="64" t="s">
        <v>36</v>
      </c>
      <c r="L318" s="72"/>
    </row>
    <row r="319" customHeight="1" spans="1:12">
      <c r="A319" s="17" t="s">
        <v>717</v>
      </c>
      <c r="B319" s="17" t="s">
        <v>79</v>
      </c>
      <c r="C319" s="85">
        <v>1</v>
      </c>
      <c r="D319" s="86" t="s">
        <v>13</v>
      </c>
      <c r="E319" s="85"/>
      <c r="F319" s="69">
        <f t="shared" si="8"/>
        <v>364</v>
      </c>
      <c r="G319" s="69">
        <f t="shared" si="9"/>
        <v>317</v>
      </c>
      <c r="H319" s="73" t="s">
        <v>14</v>
      </c>
      <c r="I319" s="23" t="s">
        <v>718</v>
      </c>
      <c r="J319" s="64" t="s">
        <v>36</v>
      </c>
      <c r="L319" s="72"/>
    </row>
    <row r="320" customHeight="1" spans="1:12">
      <c r="A320" s="84" t="s">
        <v>719</v>
      </c>
      <c r="B320" s="17" t="s">
        <v>688</v>
      </c>
      <c r="C320" s="85">
        <v>1</v>
      </c>
      <c r="D320" s="93" t="s">
        <v>13</v>
      </c>
      <c r="E320" s="85"/>
      <c r="F320" s="78">
        <f t="shared" si="8"/>
        <v>365</v>
      </c>
      <c r="G320" s="78">
        <f t="shared" si="9"/>
        <v>318</v>
      </c>
      <c r="H320" s="79" t="s">
        <v>14</v>
      </c>
      <c r="I320" s="134" t="s">
        <v>720</v>
      </c>
      <c r="J320" s="81" t="s">
        <v>36</v>
      </c>
      <c r="K320" s="45"/>
      <c r="L320" s="83"/>
    </row>
    <row r="321" customHeight="1" spans="1:12">
      <c r="A321" s="122" t="s">
        <v>721</v>
      </c>
      <c r="B321" s="123" t="s">
        <v>722</v>
      </c>
      <c r="C321" s="126">
        <v>1</v>
      </c>
      <c r="D321" s="131" t="s">
        <v>13</v>
      </c>
      <c r="E321" s="126"/>
      <c r="F321" s="69">
        <f t="shared" si="8"/>
        <v>366</v>
      </c>
      <c r="G321" s="69">
        <f t="shared" si="9"/>
        <v>319</v>
      </c>
      <c r="H321" s="73" t="s">
        <v>14</v>
      </c>
      <c r="I321" s="87" t="s">
        <v>723</v>
      </c>
      <c r="J321" s="64"/>
      <c r="K321" s="65"/>
      <c r="L321" s="66" t="s">
        <v>724</v>
      </c>
    </row>
    <row r="322" customHeight="1" spans="1:12">
      <c r="A322" s="84" t="s">
        <v>725</v>
      </c>
      <c r="B322" s="17" t="s">
        <v>722</v>
      </c>
      <c r="C322" s="85">
        <v>1</v>
      </c>
      <c r="D322" s="86" t="s">
        <v>13</v>
      </c>
      <c r="E322" s="85"/>
      <c r="F322" s="69">
        <f t="shared" si="8"/>
        <v>367</v>
      </c>
      <c r="G322" s="69">
        <f t="shared" si="9"/>
        <v>320</v>
      </c>
      <c r="H322" s="73" t="s">
        <v>14</v>
      </c>
      <c r="I322" s="98" t="s">
        <v>726</v>
      </c>
      <c r="J322" s="64"/>
      <c r="K322" s="65"/>
      <c r="L322" s="72"/>
    </row>
    <row r="323" customHeight="1" spans="1:12">
      <c r="A323" s="84" t="s">
        <v>727</v>
      </c>
      <c r="B323" s="17" t="s">
        <v>728</v>
      </c>
      <c r="C323" s="85">
        <v>1</v>
      </c>
      <c r="D323" s="86" t="s">
        <v>13</v>
      </c>
      <c r="E323" s="85"/>
      <c r="F323" s="69">
        <f t="shared" si="8"/>
        <v>368</v>
      </c>
      <c r="G323" s="69">
        <f t="shared" si="9"/>
        <v>321</v>
      </c>
      <c r="H323" s="73" t="s">
        <v>14</v>
      </c>
      <c r="I323" s="98" t="s">
        <v>729</v>
      </c>
      <c r="J323" s="64"/>
      <c r="K323" s="65"/>
      <c r="L323" s="72"/>
    </row>
    <row r="324" customHeight="1" spans="1:12">
      <c r="A324" s="84" t="s">
        <v>730</v>
      </c>
      <c r="B324" s="17" t="s">
        <v>728</v>
      </c>
      <c r="C324" s="85">
        <v>1</v>
      </c>
      <c r="D324" s="86" t="s">
        <v>13</v>
      </c>
      <c r="E324" s="85"/>
      <c r="F324" s="69">
        <f t="shared" ref="F324:F387" si="10">F323+C323</f>
        <v>369</v>
      </c>
      <c r="G324" s="69">
        <f t="shared" si="9"/>
        <v>322</v>
      </c>
      <c r="H324" s="73" t="s">
        <v>14</v>
      </c>
      <c r="I324" s="98" t="s">
        <v>731</v>
      </c>
      <c r="J324" s="64"/>
      <c r="K324" s="65"/>
      <c r="L324" s="72"/>
    </row>
    <row r="325" customHeight="1" spans="1:12">
      <c r="A325" s="84" t="s">
        <v>732</v>
      </c>
      <c r="B325" s="17" t="s">
        <v>728</v>
      </c>
      <c r="C325" s="85">
        <v>1</v>
      </c>
      <c r="D325" s="86" t="s">
        <v>13</v>
      </c>
      <c r="E325" s="85"/>
      <c r="F325" s="69">
        <f t="shared" si="10"/>
        <v>370</v>
      </c>
      <c r="G325" s="69">
        <f t="shared" si="9"/>
        <v>323</v>
      </c>
      <c r="H325" s="73" t="s">
        <v>14</v>
      </c>
      <c r="I325" s="98" t="s">
        <v>733</v>
      </c>
      <c r="J325" s="64"/>
      <c r="K325" s="65"/>
      <c r="L325" s="72"/>
    </row>
    <row r="326" ht="21" customHeight="1" spans="1:12">
      <c r="A326" s="105" t="s">
        <v>734</v>
      </c>
      <c r="B326" s="45" t="s">
        <v>728</v>
      </c>
      <c r="C326" s="107">
        <v>1</v>
      </c>
      <c r="D326" s="108" t="s">
        <v>13</v>
      </c>
      <c r="E326" s="107"/>
      <c r="F326" s="78">
        <f t="shared" si="10"/>
        <v>371</v>
      </c>
      <c r="G326" s="78">
        <f t="shared" si="9"/>
        <v>324</v>
      </c>
      <c r="H326" s="79" t="s">
        <v>14</v>
      </c>
      <c r="I326" s="135" t="s">
        <v>735</v>
      </c>
      <c r="J326" s="120"/>
      <c r="K326" s="121"/>
      <c r="L326" s="83"/>
    </row>
    <row r="327" customHeight="1" spans="1:12">
      <c r="A327" s="67" t="s">
        <v>736</v>
      </c>
      <c r="B327" s="130" t="s">
        <v>25</v>
      </c>
      <c r="C327" s="46">
        <v>3</v>
      </c>
      <c r="D327" s="68" t="s">
        <v>26</v>
      </c>
      <c r="E327" s="85"/>
      <c r="F327" s="69">
        <f t="shared" si="10"/>
        <v>372</v>
      </c>
      <c r="G327" s="69">
        <f t="shared" si="9"/>
        <v>325</v>
      </c>
      <c r="H327" s="73" t="s">
        <v>27</v>
      </c>
      <c r="I327" s="70" t="s">
        <v>737</v>
      </c>
      <c r="J327" s="64"/>
      <c r="K327" s="65"/>
      <c r="L327" s="66" t="s">
        <v>738</v>
      </c>
    </row>
    <row r="328" ht="24.75" customHeight="1" spans="1:12">
      <c r="A328" s="105" t="s">
        <v>739</v>
      </c>
      <c r="B328" s="136" t="s">
        <v>25</v>
      </c>
      <c r="C328" s="107">
        <v>3</v>
      </c>
      <c r="D328" s="108" t="s">
        <v>26</v>
      </c>
      <c r="E328" s="107"/>
      <c r="F328" s="78">
        <f t="shared" si="10"/>
        <v>375</v>
      </c>
      <c r="G328" s="78">
        <f t="shared" si="9"/>
        <v>326</v>
      </c>
      <c r="H328" s="79" t="s">
        <v>27</v>
      </c>
      <c r="I328" s="109" t="s">
        <v>740</v>
      </c>
      <c r="J328" s="81"/>
      <c r="K328" s="96"/>
      <c r="L328" s="83"/>
    </row>
    <row r="329" customHeight="1" spans="1:12">
      <c r="A329" s="84" t="s">
        <v>741</v>
      </c>
      <c r="B329" s="17" t="s">
        <v>742</v>
      </c>
      <c r="C329" s="85">
        <v>1</v>
      </c>
      <c r="D329" s="86" t="s">
        <v>13</v>
      </c>
      <c r="E329" s="85"/>
      <c r="F329" s="69">
        <f t="shared" si="10"/>
        <v>378</v>
      </c>
      <c r="G329" s="69">
        <f t="shared" si="9"/>
        <v>327</v>
      </c>
      <c r="H329" s="133" t="s">
        <v>14</v>
      </c>
      <c r="I329" s="87" t="s">
        <v>743</v>
      </c>
      <c r="J329" s="64"/>
      <c r="K329" s="103"/>
      <c r="L329" s="66" t="s">
        <v>744</v>
      </c>
    </row>
    <row r="330" customHeight="1" spans="1:12">
      <c r="A330" s="67" t="s">
        <v>745</v>
      </c>
      <c r="B330" s="43" t="s">
        <v>746</v>
      </c>
      <c r="C330" s="46">
        <v>1</v>
      </c>
      <c r="D330" s="68" t="s">
        <v>13</v>
      </c>
      <c r="E330" s="46"/>
      <c r="F330" s="69">
        <f t="shared" si="10"/>
        <v>379</v>
      </c>
      <c r="G330" s="69">
        <f t="shared" si="9"/>
        <v>328</v>
      </c>
      <c r="H330" s="73" t="s">
        <v>14</v>
      </c>
      <c r="I330" s="70" t="s">
        <v>747</v>
      </c>
      <c r="J330" s="64"/>
      <c r="K330" s="65"/>
      <c r="L330" s="72"/>
    </row>
    <row r="331" customHeight="1" spans="1:12">
      <c r="A331" s="110" t="s">
        <v>748</v>
      </c>
      <c r="B331" s="130" t="s">
        <v>749</v>
      </c>
      <c r="C331" s="46">
        <v>1</v>
      </c>
      <c r="D331" s="68" t="s">
        <v>26</v>
      </c>
      <c r="E331" s="46"/>
      <c r="F331" s="69">
        <f t="shared" si="10"/>
        <v>380</v>
      </c>
      <c r="G331" s="69">
        <f t="shared" si="9"/>
        <v>329</v>
      </c>
      <c r="H331" s="73" t="s">
        <v>27</v>
      </c>
      <c r="I331" s="70" t="s">
        <v>750</v>
      </c>
      <c r="J331" s="64"/>
      <c r="K331" s="65"/>
      <c r="L331" s="72"/>
    </row>
    <row r="332" customHeight="1" spans="1:12">
      <c r="A332" s="67" t="s">
        <v>751</v>
      </c>
      <c r="B332" s="43" t="s">
        <v>752</v>
      </c>
      <c r="C332" s="46">
        <v>1</v>
      </c>
      <c r="D332" s="68" t="s">
        <v>13</v>
      </c>
      <c r="E332" s="46"/>
      <c r="F332" s="69">
        <f t="shared" si="10"/>
        <v>381</v>
      </c>
      <c r="G332" s="69">
        <f t="shared" ref="G332:G395" si="11">G331+1</f>
        <v>330</v>
      </c>
      <c r="H332" s="73" t="s">
        <v>14</v>
      </c>
      <c r="I332" s="70" t="s">
        <v>753</v>
      </c>
      <c r="J332" s="64" t="s">
        <v>36</v>
      </c>
      <c r="K332" s="65"/>
      <c r="L332" s="72"/>
    </row>
    <row r="333" customHeight="1" spans="1:12">
      <c r="A333" s="67" t="s">
        <v>754</v>
      </c>
      <c r="B333" s="130" t="s">
        <v>749</v>
      </c>
      <c r="C333" s="46">
        <v>1</v>
      </c>
      <c r="D333" s="68" t="s">
        <v>26</v>
      </c>
      <c r="E333" s="46"/>
      <c r="F333" s="69">
        <f t="shared" si="10"/>
        <v>382</v>
      </c>
      <c r="G333" s="69">
        <f t="shared" si="11"/>
        <v>331</v>
      </c>
      <c r="H333" s="73" t="s">
        <v>27</v>
      </c>
      <c r="I333" s="70" t="s">
        <v>755</v>
      </c>
      <c r="J333" s="64"/>
      <c r="K333" s="65"/>
      <c r="L333" s="72"/>
    </row>
    <row r="334" customHeight="1" spans="1:12">
      <c r="A334" s="67" t="s">
        <v>756</v>
      </c>
      <c r="B334" s="43" t="s">
        <v>752</v>
      </c>
      <c r="C334" s="46">
        <v>1</v>
      </c>
      <c r="D334" s="68" t="s">
        <v>13</v>
      </c>
      <c r="E334" s="46"/>
      <c r="F334" s="69">
        <f t="shared" si="10"/>
        <v>383</v>
      </c>
      <c r="G334" s="69">
        <f t="shared" si="11"/>
        <v>332</v>
      </c>
      <c r="H334" s="73" t="s">
        <v>14</v>
      </c>
      <c r="I334" s="70" t="s">
        <v>757</v>
      </c>
      <c r="J334" s="64" t="s">
        <v>36</v>
      </c>
      <c r="K334" s="65"/>
      <c r="L334" s="72"/>
    </row>
    <row r="335" customHeight="1" spans="1:12">
      <c r="A335" s="67" t="s">
        <v>758</v>
      </c>
      <c r="B335" s="130" t="s">
        <v>749</v>
      </c>
      <c r="C335" s="46">
        <v>1</v>
      </c>
      <c r="D335" s="68" t="s">
        <v>26</v>
      </c>
      <c r="E335" s="46"/>
      <c r="F335" s="69">
        <f t="shared" si="10"/>
        <v>384</v>
      </c>
      <c r="G335" s="69">
        <f t="shared" si="11"/>
        <v>333</v>
      </c>
      <c r="H335" s="73" t="s">
        <v>27</v>
      </c>
      <c r="I335" s="70" t="s">
        <v>759</v>
      </c>
      <c r="J335" s="64"/>
      <c r="K335" s="65"/>
      <c r="L335" s="72"/>
    </row>
    <row r="336" customHeight="1" spans="1:12">
      <c r="A336" s="110" t="s">
        <v>760</v>
      </c>
      <c r="B336" s="130" t="s">
        <v>63</v>
      </c>
      <c r="C336" s="46">
        <v>2</v>
      </c>
      <c r="D336" s="68" t="s">
        <v>26</v>
      </c>
      <c r="E336" s="46"/>
      <c r="F336" s="69">
        <f t="shared" si="10"/>
        <v>385</v>
      </c>
      <c r="G336" s="69">
        <f t="shared" si="11"/>
        <v>334</v>
      </c>
      <c r="H336" s="73" t="s">
        <v>27</v>
      </c>
      <c r="I336" s="70" t="s">
        <v>761</v>
      </c>
      <c r="J336" s="64" t="s">
        <v>36</v>
      </c>
      <c r="K336" s="65"/>
      <c r="L336" s="72"/>
    </row>
    <row r="337" customHeight="1" spans="1:12">
      <c r="A337" s="110" t="s">
        <v>762</v>
      </c>
      <c r="B337" s="130" t="s">
        <v>63</v>
      </c>
      <c r="C337" s="46">
        <v>2</v>
      </c>
      <c r="D337" s="68" t="s">
        <v>26</v>
      </c>
      <c r="E337" s="46"/>
      <c r="F337" s="69">
        <f t="shared" si="10"/>
        <v>387</v>
      </c>
      <c r="G337" s="69">
        <f t="shared" si="11"/>
        <v>335</v>
      </c>
      <c r="H337" s="73" t="s">
        <v>27</v>
      </c>
      <c r="I337" s="70" t="s">
        <v>763</v>
      </c>
      <c r="J337" s="64" t="s">
        <v>36</v>
      </c>
      <c r="K337" s="65"/>
      <c r="L337" s="72"/>
    </row>
    <row r="338" customHeight="1" spans="1:12">
      <c r="A338" s="111" t="s">
        <v>764</v>
      </c>
      <c r="B338" s="130" t="s">
        <v>749</v>
      </c>
      <c r="C338" s="46">
        <v>1</v>
      </c>
      <c r="D338" s="46" t="s">
        <v>26</v>
      </c>
      <c r="E338" s="46"/>
      <c r="F338" s="69">
        <f t="shared" si="10"/>
        <v>389</v>
      </c>
      <c r="G338" s="69">
        <f t="shared" si="11"/>
        <v>336</v>
      </c>
      <c r="H338" s="73" t="s">
        <v>27</v>
      </c>
      <c r="I338" s="137" t="s">
        <v>765</v>
      </c>
      <c r="J338" s="64"/>
      <c r="K338" s="65"/>
      <c r="L338" s="72"/>
    </row>
    <row r="339" customHeight="1" spans="1:12">
      <c r="A339" s="110" t="s">
        <v>766</v>
      </c>
      <c r="B339" s="130" t="s">
        <v>63</v>
      </c>
      <c r="C339" s="46">
        <v>2</v>
      </c>
      <c r="D339" s="68" t="s">
        <v>26</v>
      </c>
      <c r="E339" s="46"/>
      <c r="F339" s="69">
        <f t="shared" si="10"/>
        <v>390</v>
      </c>
      <c r="G339" s="69">
        <f t="shared" si="11"/>
        <v>337</v>
      </c>
      <c r="H339" s="73" t="s">
        <v>27</v>
      </c>
      <c r="I339" s="3" t="s">
        <v>767</v>
      </c>
      <c r="J339" s="64"/>
      <c r="K339" s="65"/>
      <c r="L339" s="72"/>
    </row>
    <row r="340" customHeight="1" spans="1:12">
      <c r="A340" s="138" t="s">
        <v>768</v>
      </c>
      <c r="B340" s="136" t="s">
        <v>63</v>
      </c>
      <c r="C340" s="76">
        <v>2</v>
      </c>
      <c r="D340" s="77" t="s">
        <v>26</v>
      </c>
      <c r="E340" s="76"/>
      <c r="F340" s="78">
        <f t="shared" si="10"/>
        <v>392</v>
      </c>
      <c r="G340" s="78">
        <f t="shared" si="11"/>
        <v>338</v>
      </c>
      <c r="H340" s="79" t="s">
        <v>27</v>
      </c>
      <c r="I340" s="139" t="s">
        <v>769</v>
      </c>
      <c r="J340" s="81"/>
      <c r="K340" s="96"/>
      <c r="L340" s="83"/>
    </row>
    <row r="341" customHeight="1" spans="1:12">
      <c r="A341" s="84" t="s">
        <v>770</v>
      </c>
      <c r="B341" s="17" t="s">
        <v>771</v>
      </c>
      <c r="C341" s="46">
        <v>1</v>
      </c>
      <c r="D341" s="68" t="s">
        <v>13</v>
      </c>
      <c r="E341" s="85"/>
      <c r="F341" s="69">
        <f t="shared" si="10"/>
        <v>394</v>
      </c>
      <c r="G341" s="69">
        <f t="shared" si="11"/>
        <v>339</v>
      </c>
      <c r="H341" s="73" t="s">
        <v>14</v>
      </c>
      <c r="I341" s="87" t="s">
        <v>772</v>
      </c>
      <c r="J341" s="64"/>
      <c r="K341" s="65"/>
      <c r="L341" s="66" t="s">
        <v>773</v>
      </c>
    </row>
    <row r="342" customHeight="1" spans="1:12">
      <c r="A342" s="67" t="s">
        <v>774</v>
      </c>
      <c r="B342" s="130" t="s">
        <v>63</v>
      </c>
      <c r="C342" s="46">
        <v>2</v>
      </c>
      <c r="D342" s="68" t="s">
        <v>26</v>
      </c>
      <c r="E342" s="85"/>
      <c r="F342" s="69">
        <f t="shared" si="10"/>
        <v>395</v>
      </c>
      <c r="G342" s="69">
        <f t="shared" si="11"/>
        <v>340</v>
      </c>
      <c r="H342" s="73" t="s">
        <v>27</v>
      </c>
      <c r="I342" s="98" t="s">
        <v>775</v>
      </c>
      <c r="J342" s="64" t="s">
        <v>36</v>
      </c>
      <c r="K342" s="65"/>
      <c r="L342" s="72"/>
    </row>
    <row r="343" customHeight="1" spans="1:12">
      <c r="A343" s="84" t="s">
        <v>776</v>
      </c>
      <c r="B343" s="17" t="s">
        <v>771</v>
      </c>
      <c r="C343" s="46">
        <v>1</v>
      </c>
      <c r="D343" s="68" t="s">
        <v>13</v>
      </c>
      <c r="E343" s="85"/>
      <c r="F343" s="69">
        <f t="shared" si="10"/>
        <v>397</v>
      </c>
      <c r="G343" s="69">
        <f t="shared" si="11"/>
        <v>341</v>
      </c>
      <c r="H343" s="73" t="s">
        <v>14</v>
      </c>
      <c r="I343" s="87" t="s">
        <v>777</v>
      </c>
      <c r="J343" s="64"/>
      <c r="K343" s="65"/>
      <c r="L343" s="72"/>
    </row>
    <row r="344" customHeight="1" spans="1:12">
      <c r="A344" s="84" t="s">
        <v>778</v>
      </c>
      <c r="B344" s="17" t="s">
        <v>771</v>
      </c>
      <c r="C344" s="46">
        <v>1</v>
      </c>
      <c r="D344" s="68" t="s">
        <v>13</v>
      </c>
      <c r="E344" s="85"/>
      <c r="F344" s="69">
        <f t="shared" si="10"/>
        <v>398</v>
      </c>
      <c r="G344" s="69">
        <f t="shared" si="11"/>
        <v>342</v>
      </c>
      <c r="H344" s="73" t="s">
        <v>14</v>
      </c>
      <c r="I344" s="87" t="s">
        <v>779</v>
      </c>
      <c r="J344" s="64"/>
      <c r="K344" s="65"/>
      <c r="L344" s="72"/>
    </row>
    <row r="345" customHeight="1" spans="1:12">
      <c r="A345" s="84" t="s">
        <v>780</v>
      </c>
      <c r="B345" s="17" t="s">
        <v>771</v>
      </c>
      <c r="C345" s="46">
        <v>1</v>
      </c>
      <c r="D345" s="68" t="s">
        <v>13</v>
      </c>
      <c r="E345" s="85"/>
      <c r="F345" s="69">
        <f t="shared" si="10"/>
        <v>399</v>
      </c>
      <c r="G345" s="69">
        <f t="shared" si="11"/>
        <v>343</v>
      </c>
      <c r="H345" s="73" t="s">
        <v>14</v>
      </c>
      <c r="I345" s="87" t="s">
        <v>781</v>
      </c>
      <c r="J345" s="64"/>
      <c r="K345" s="65"/>
      <c r="L345" s="72"/>
    </row>
    <row r="346" customHeight="1" spans="1:12">
      <c r="A346" s="84" t="s">
        <v>782</v>
      </c>
      <c r="B346" s="17" t="s">
        <v>771</v>
      </c>
      <c r="C346" s="46">
        <v>1</v>
      </c>
      <c r="D346" s="68" t="s">
        <v>13</v>
      </c>
      <c r="E346" s="85"/>
      <c r="F346" s="69">
        <f t="shared" si="10"/>
        <v>400</v>
      </c>
      <c r="G346" s="69">
        <f t="shared" si="11"/>
        <v>344</v>
      </c>
      <c r="H346" s="73" t="s">
        <v>14</v>
      </c>
      <c r="I346" s="87" t="s">
        <v>783</v>
      </c>
      <c r="J346" s="64"/>
      <c r="K346" s="65"/>
      <c r="L346" s="72"/>
    </row>
    <row r="347" customHeight="1" spans="1:12">
      <c r="A347" s="84" t="s">
        <v>784</v>
      </c>
      <c r="B347" s="17" t="s">
        <v>771</v>
      </c>
      <c r="C347" s="46">
        <v>1</v>
      </c>
      <c r="D347" s="68" t="s">
        <v>13</v>
      </c>
      <c r="E347" s="85"/>
      <c r="F347" s="69">
        <f t="shared" si="10"/>
        <v>401</v>
      </c>
      <c r="G347" s="69">
        <f t="shared" si="11"/>
        <v>345</v>
      </c>
      <c r="H347" s="73" t="s">
        <v>14</v>
      </c>
      <c r="I347" s="87" t="s">
        <v>785</v>
      </c>
      <c r="J347" s="64"/>
      <c r="K347" s="65"/>
      <c r="L347" s="72"/>
    </row>
    <row r="348" customHeight="1" spans="1:12">
      <c r="A348" s="84" t="s">
        <v>786</v>
      </c>
      <c r="B348" s="17" t="s">
        <v>771</v>
      </c>
      <c r="C348" s="46">
        <v>1</v>
      </c>
      <c r="D348" s="68" t="s">
        <v>13</v>
      </c>
      <c r="E348" s="85"/>
      <c r="F348" s="69">
        <f t="shared" si="10"/>
        <v>402</v>
      </c>
      <c r="G348" s="69">
        <f t="shared" si="11"/>
        <v>346</v>
      </c>
      <c r="H348" s="73" t="s">
        <v>14</v>
      </c>
      <c r="I348" s="87" t="s">
        <v>787</v>
      </c>
      <c r="J348" s="64"/>
      <c r="K348" s="65"/>
      <c r="L348" s="72"/>
    </row>
    <row r="349" customHeight="1" spans="1:12">
      <c r="A349" s="110" t="s">
        <v>788</v>
      </c>
      <c r="B349" s="130" t="s">
        <v>63</v>
      </c>
      <c r="C349" s="46">
        <v>2</v>
      </c>
      <c r="D349" s="68" t="s">
        <v>26</v>
      </c>
      <c r="E349" s="46"/>
      <c r="F349" s="69">
        <f t="shared" si="10"/>
        <v>403</v>
      </c>
      <c r="G349" s="69">
        <f t="shared" si="11"/>
        <v>347</v>
      </c>
      <c r="H349" s="73" t="s">
        <v>27</v>
      </c>
      <c r="I349" s="70" t="s">
        <v>789</v>
      </c>
      <c r="J349" s="64" t="s">
        <v>36</v>
      </c>
      <c r="K349" s="65"/>
      <c r="L349" s="72"/>
    </row>
    <row r="350" customHeight="1" spans="1:12">
      <c r="A350" s="110" t="s">
        <v>790</v>
      </c>
      <c r="B350" s="17" t="s">
        <v>771</v>
      </c>
      <c r="C350" s="46">
        <v>1</v>
      </c>
      <c r="D350" s="68" t="s">
        <v>13</v>
      </c>
      <c r="E350" s="85"/>
      <c r="F350" s="69">
        <f t="shared" si="10"/>
        <v>405</v>
      </c>
      <c r="G350" s="69">
        <f t="shared" si="11"/>
        <v>348</v>
      </c>
      <c r="H350" s="73" t="s">
        <v>14</v>
      </c>
      <c r="I350" s="87" t="s">
        <v>791</v>
      </c>
      <c r="J350" s="64"/>
      <c r="K350" s="65"/>
      <c r="L350" s="72"/>
    </row>
    <row r="351" customHeight="1" spans="1:12">
      <c r="A351" s="110" t="s">
        <v>792</v>
      </c>
      <c r="B351" s="17" t="s">
        <v>771</v>
      </c>
      <c r="C351" s="46">
        <v>1</v>
      </c>
      <c r="D351" s="68" t="s">
        <v>13</v>
      </c>
      <c r="E351" s="85"/>
      <c r="F351" s="69">
        <f t="shared" si="10"/>
        <v>406</v>
      </c>
      <c r="G351" s="69">
        <f t="shared" si="11"/>
        <v>349</v>
      </c>
      <c r="H351" s="73" t="s">
        <v>14</v>
      </c>
      <c r="I351" s="87" t="s">
        <v>793</v>
      </c>
      <c r="J351" s="64"/>
      <c r="K351" s="65"/>
      <c r="L351" s="72"/>
    </row>
    <row r="352" customHeight="1" spans="1:12">
      <c r="A352" s="110" t="s">
        <v>794</v>
      </c>
      <c r="B352" s="17" t="s">
        <v>771</v>
      </c>
      <c r="C352" s="46">
        <v>1</v>
      </c>
      <c r="D352" s="68" t="s">
        <v>13</v>
      </c>
      <c r="E352" s="85"/>
      <c r="F352" s="69">
        <f t="shared" si="10"/>
        <v>407</v>
      </c>
      <c r="G352" s="69">
        <f t="shared" si="11"/>
        <v>350</v>
      </c>
      <c r="H352" s="73" t="s">
        <v>14</v>
      </c>
      <c r="I352" s="87" t="s">
        <v>795</v>
      </c>
      <c r="J352" s="64"/>
      <c r="K352" s="65"/>
      <c r="L352" s="72"/>
    </row>
    <row r="353" customHeight="1" spans="1:120">
      <c r="A353" s="110" t="s">
        <v>796</v>
      </c>
      <c r="B353" s="17" t="s">
        <v>771</v>
      </c>
      <c r="C353" s="46">
        <v>1</v>
      </c>
      <c r="D353" s="68" t="s">
        <v>13</v>
      </c>
      <c r="E353" s="85"/>
      <c r="F353" s="69">
        <f t="shared" si="10"/>
        <v>408</v>
      </c>
      <c r="G353" s="69">
        <f t="shared" si="11"/>
        <v>351</v>
      </c>
      <c r="H353" s="73" t="s">
        <v>14</v>
      </c>
      <c r="I353" s="87" t="s">
        <v>797</v>
      </c>
      <c r="J353" s="64"/>
      <c r="K353" s="65"/>
      <c r="L353" s="72"/>
    </row>
    <row r="354" customHeight="1" spans="1:120">
      <c r="A354" s="110" t="s">
        <v>798</v>
      </c>
      <c r="B354" s="17" t="s">
        <v>771</v>
      </c>
      <c r="C354" s="46">
        <v>1</v>
      </c>
      <c r="D354" s="68" t="s">
        <v>13</v>
      </c>
      <c r="E354" s="85"/>
      <c r="F354" s="69">
        <f t="shared" si="10"/>
        <v>409</v>
      </c>
      <c r="G354" s="69">
        <f t="shared" si="11"/>
        <v>352</v>
      </c>
      <c r="H354" s="73" t="s">
        <v>14</v>
      </c>
      <c r="I354" s="87" t="s">
        <v>799</v>
      </c>
      <c r="J354" s="64"/>
      <c r="K354" s="65"/>
      <c r="L354" s="72"/>
    </row>
    <row r="355" customHeight="1" spans="1:120">
      <c r="A355" s="110" t="s">
        <v>800</v>
      </c>
      <c r="B355" s="17" t="s">
        <v>771</v>
      </c>
      <c r="C355" s="46">
        <v>1</v>
      </c>
      <c r="D355" s="68" t="s">
        <v>13</v>
      </c>
      <c r="E355" s="85"/>
      <c r="F355" s="69">
        <f t="shared" si="10"/>
        <v>410</v>
      </c>
      <c r="G355" s="69">
        <f t="shared" si="11"/>
        <v>353</v>
      </c>
      <c r="H355" s="73" t="s">
        <v>14</v>
      </c>
      <c r="I355" s="98" t="s">
        <v>801</v>
      </c>
      <c r="J355" s="64"/>
      <c r="K355" s="65"/>
      <c r="L355" s="72"/>
    </row>
    <row r="356" customHeight="1" spans="1:120">
      <c r="A356" s="110" t="s">
        <v>802</v>
      </c>
      <c r="B356" s="17" t="s">
        <v>771</v>
      </c>
      <c r="C356" s="46">
        <v>1</v>
      </c>
      <c r="D356" s="68" t="s">
        <v>13</v>
      </c>
      <c r="E356" s="85"/>
      <c r="F356" s="69">
        <f t="shared" si="10"/>
        <v>411</v>
      </c>
      <c r="G356" s="69">
        <f t="shared" si="11"/>
        <v>354</v>
      </c>
      <c r="H356" s="73" t="s">
        <v>14</v>
      </c>
      <c r="I356" s="98" t="s">
        <v>803</v>
      </c>
      <c r="J356" s="64"/>
      <c r="K356" s="65"/>
      <c r="L356" s="72"/>
    </row>
    <row r="357" customHeight="1" spans="1:120">
      <c r="A357" s="110" t="s">
        <v>804</v>
      </c>
      <c r="B357" s="17" t="s">
        <v>771</v>
      </c>
      <c r="C357" s="46">
        <v>1</v>
      </c>
      <c r="D357" s="68" t="s">
        <v>13</v>
      </c>
      <c r="E357" s="85"/>
      <c r="F357" s="69">
        <f t="shared" si="10"/>
        <v>412</v>
      </c>
      <c r="G357" s="69">
        <f t="shared" si="11"/>
        <v>355</v>
      </c>
      <c r="H357" s="73" t="s">
        <v>14</v>
      </c>
      <c r="I357" s="87" t="s">
        <v>805</v>
      </c>
      <c r="J357" s="64" t="s">
        <v>36</v>
      </c>
      <c r="K357" s="65"/>
      <c r="L357" s="72"/>
    </row>
    <row r="358" s="43" customFormat="1" customHeight="1" spans="1:120">
      <c r="A358" s="110" t="s">
        <v>806</v>
      </c>
      <c r="B358" s="130" t="s">
        <v>63</v>
      </c>
      <c r="C358" s="46">
        <v>2</v>
      </c>
      <c r="D358" s="68" t="s">
        <v>26</v>
      </c>
      <c r="E358" s="46"/>
      <c r="F358" s="69">
        <f t="shared" si="10"/>
        <v>413</v>
      </c>
      <c r="G358" s="69">
        <f t="shared" si="11"/>
        <v>356</v>
      </c>
      <c r="H358" s="73" t="s">
        <v>27</v>
      </c>
      <c r="I358" s="70" t="s">
        <v>807</v>
      </c>
      <c r="J358" s="64"/>
      <c r="K358" s="71"/>
      <c r="L358" s="72"/>
    </row>
    <row r="359" s="43" customFormat="1" customHeight="1" spans="1:120">
      <c r="A359" s="67" t="s">
        <v>808</v>
      </c>
      <c r="B359" s="17" t="s">
        <v>79</v>
      </c>
      <c r="C359" s="46">
        <v>1</v>
      </c>
      <c r="D359" s="68" t="s">
        <v>13</v>
      </c>
      <c r="E359" s="46"/>
      <c r="F359" s="69">
        <f t="shared" si="10"/>
        <v>415</v>
      </c>
      <c r="G359" s="69">
        <f t="shared" si="11"/>
        <v>357</v>
      </c>
      <c r="H359" s="73" t="s">
        <v>14</v>
      </c>
      <c r="I359" s="70" t="s">
        <v>809</v>
      </c>
      <c r="J359" s="64" t="s">
        <v>36</v>
      </c>
      <c r="K359" s="71"/>
      <c r="L359" s="72"/>
    </row>
    <row r="360" s="43" customFormat="1" customHeight="1" spans="1:120">
      <c r="A360" s="138" t="s">
        <v>810</v>
      </c>
      <c r="B360" s="136" t="s">
        <v>63</v>
      </c>
      <c r="C360" s="76">
        <v>2</v>
      </c>
      <c r="D360" s="77" t="s">
        <v>26</v>
      </c>
      <c r="E360" s="76"/>
      <c r="F360" s="78">
        <f t="shared" si="10"/>
        <v>416</v>
      </c>
      <c r="G360" s="78">
        <f t="shared" si="11"/>
        <v>358</v>
      </c>
      <c r="H360" s="79" t="s">
        <v>27</v>
      </c>
      <c r="I360" s="80" t="s">
        <v>811</v>
      </c>
      <c r="J360" s="81" t="s">
        <v>36</v>
      </c>
      <c r="K360" s="82"/>
      <c r="L360" s="83"/>
    </row>
    <row r="361" customHeight="1" spans="1:120">
      <c r="A361" s="84" t="s">
        <v>812</v>
      </c>
      <c r="B361" s="17" t="s">
        <v>813</v>
      </c>
      <c r="C361" s="46">
        <v>1</v>
      </c>
      <c r="D361" s="140" t="s">
        <v>13</v>
      </c>
      <c r="E361" s="85"/>
      <c r="F361" s="69">
        <f t="shared" si="10"/>
        <v>418</v>
      </c>
      <c r="G361" s="69">
        <f t="shared" si="11"/>
        <v>359</v>
      </c>
      <c r="H361" s="133" t="s">
        <v>14</v>
      </c>
      <c r="I361" s="87" t="s">
        <v>814</v>
      </c>
      <c r="J361" s="141"/>
      <c r="K361" s="122"/>
      <c r="L361" s="66" t="s">
        <v>815</v>
      </c>
    </row>
    <row r="362" customHeight="1" spans="1:120">
      <c r="A362" s="110" t="s">
        <v>816</v>
      </c>
      <c r="B362" s="130" t="s">
        <v>63</v>
      </c>
      <c r="C362" s="46">
        <v>2</v>
      </c>
      <c r="D362" s="68" t="s">
        <v>26</v>
      </c>
      <c r="E362" s="46"/>
      <c r="F362" s="69">
        <f t="shared" si="10"/>
        <v>419</v>
      </c>
      <c r="G362" s="69">
        <f t="shared" si="11"/>
        <v>360</v>
      </c>
      <c r="H362" s="73" t="s">
        <v>27</v>
      </c>
      <c r="I362" s="70" t="s">
        <v>817</v>
      </c>
      <c r="J362" s="141" t="s">
        <v>36</v>
      </c>
      <c r="K362" s="84"/>
      <c r="L362" s="72"/>
    </row>
    <row r="363" customHeight="1" spans="1:120">
      <c r="A363" s="110" t="s">
        <v>818</v>
      </c>
      <c r="B363" s="130" t="s">
        <v>63</v>
      </c>
      <c r="C363" s="46">
        <v>2</v>
      </c>
      <c r="D363" s="68" t="s">
        <v>26</v>
      </c>
      <c r="E363" s="46"/>
      <c r="F363" s="69">
        <f t="shared" si="10"/>
        <v>421</v>
      </c>
      <c r="G363" s="69">
        <f t="shared" si="11"/>
        <v>361</v>
      </c>
      <c r="H363" s="73" t="s">
        <v>27</v>
      </c>
      <c r="I363" s="70" t="s">
        <v>819</v>
      </c>
      <c r="J363" s="141" t="s">
        <v>36</v>
      </c>
      <c r="K363" s="84"/>
      <c r="L363" s="72"/>
    </row>
    <row r="364" customHeight="1" spans="1:120">
      <c r="A364" s="110" t="s">
        <v>820</v>
      </c>
      <c r="B364" s="17" t="s">
        <v>79</v>
      </c>
      <c r="C364" s="46">
        <v>1</v>
      </c>
      <c r="D364" s="68" t="s">
        <v>13</v>
      </c>
      <c r="E364" s="46"/>
      <c r="F364" s="69">
        <f t="shared" si="10"/>
        <v>423</v>
      </c>
      <c r="G364" s="69">
        <f t="shared" si="11"/>
        <v>362</v>
      </c>
      <c r="H364" s="73" t="s">
        <v>14</v>
      </c>
      <c r="I364" s="22" t="s">
        <v>821</v>
      </c>
      <c r="J364" s="141"/>
      <c r="K364" s="84"/>
      <c r="L364" s="72"/>
    </row>
    <row r="365" customHeight="1" spans="1:120">
      <c r="A365" s="110" t="s">
        <v>822</v>
      </c>
      <c r="B365" s="130" t="s">
        <v>63</v>
      </c>
      <c r="C365" s="46">
        <v>2</v>
      </c>
      <c r="D365" s="68" t="s">
        <v>26</v>
      </c>
      <c r="E365" s="46"/>
      <c r="F365" s="69">
        <f t="shared" si="10"/>
        <v>424</v>
      </c>
      <c r="G365" s="69">
        <f t="shared" si="11"/>
        <v>363</v>
      </c>
      <c r="H365" s="73" t="s">
        <v>27</v>
      </c>
      <c r="I365" s="22" t="s">
        <v>823</v>
      </c>
      <c r="J365" s="141"/>
      <c r="K365" s="84"/>
      <c r="L365" s="72"/>
    </row>
    <row r="366" customHeight="1" spans="1:120">
      <c r="A366" s="17" t="s">
        <v>824</v>
      </c>
      <c r="B366" s="17" t="s">
        <v>825</v>
      </c>
      <c r="C366" s="46">
        <v>1</v>
      </c>
      <c r="D366" s="68" t="s">
        <v>13</v>
      </c>
      <c r="E366" s="85"/>
      <c r="F366" s="69">
        <f t="shared" si="10"/>
        <v>426</v>
      </c>
      <c r="G366" s="69">
        <f t="shared" si="11"/>
        <v>364</v>
      </c>
      <c r="H366" s="73" t="s">
        <v>14</v>
      </c>
      <c r="I366" s="22" t="s">
        <v>826</v>
      </c>
      <c r="J366" s="141"/>
      <c r="K366" s="84"/>
      <c r="L366" s="72"/>
    </row>
    <row r="367" s="45" customFormat="1" customHeight="1" spans="1:120">
      <c r="A367" s="110" t="s">
        <v>827</v>
      </c>
      <c r="B367" s="130" t="s">
        <v>828</v>
      </c>
      <c r="C367" s="46">
        <v>1</v>
      </c>
      <c r="D367" s="68" t="s">
        <v>13</v>
      </c>
      <c r="E367" s="46"/>
      <c r="F367" s="69">
        <f t="shared" si="10"/>
        <v>427</v>
      </c>
      <c r="G367" s="69">
        <f t="shared" si="11"/>
        <v>365</v>
      </c>
      <c r="H367" s="73" t="s">
        <v>14</v>
      </c>
      <c r="I367" s="22" t="s">
        <v>829</v>
      </c>
      <c r="J367" s="141" t="s">
        <v>36</v>
      </c>
      <c r="K367" s="84"/>
      <c r="L367" s="72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  <c r="CF367" s="17"/>
      <c r="CG367" s="17"/>
      <c r="CH367" s="17"/>
      <c r="CI367" s="17"/>
      <c r="CJ367" s="17"/>
      <c r="CK367" s="17"/>
      <c r="CL367" s="17"/>
      <c r="CM367" s="17"/>
      <c r="CN367" s="17"/>
      <c r="CO367" s="17"/>
      <c r="CP367" s="17"/>
      <c r="CQ367" s="17"/>
      <c r="CR367" s="17"/>
      <c r="CS367" s="17"/>
      <c r="CT367" s="17"/>
      <c r="CU367" s="17"/>
      <c r="CV367" s="17"/>
      <c r="CW367" s="17"/>
      <c r="CX367" s="17"/>
      <c r="CY367" s="17"/>
      <c r="CZ367" s="17"/>
      <c r="DA367" s="17"/>
      <c r="DB367" s="17"/>
      <c r="DC367" s="17"/>
      <c r="DD367" s="17"/>
      <c r="DE367" s="17"/>
      <c r="DF367" s="17"/>
      <c r="DG367" s="17"/>
      <c r="DH367" s="17"/>
      <c r="DI367" s="17"/>
      <c r="DJ367" s="17"/>
      <c r="DK367" s="17"/>
      <c r="DL367" s="17"/>
      <c r="DM367" s="17"/>
      <c r="DN367" s="17"/>
      <c r="DO367" s="17"/>
      <c r="DP367" s="17"/>
    </row>
    <row r="368" customHeight="1" spans="1:120">
      <c r="A368" s="110" t="s">
        <v>830</v>
      </c>
      <c r="B368" s="130" t="s">
        <v>831</v>
      </c>
      <c r="C368" s="46">
        <v>1</v>
      </c>
      <c r="D368" s="68" t="s">
        <v>13</v>
      </c>
      <c r="E368" s="46"/>
      <c r="F368" s="69">
        <f t="shared" si="10"/>
        <v>428</v>
      </c>
      <c r="G368" s="69">
        <f t="shared" si="11"/>
        <v>366</v>
      </c>
      <c r="H368" s="73" t="s">
        <v>14</v>
      </c>
      <c r="I368" s="22" t="s">
        <v>832</v>
      </c>
      <c r="J368" s="141"/>
      <c r="K368" s="84"/>
      <c r="L368" s="72"/>
    </row>
    <row r="369" customHeight="1" spans="1:12">
      <c r="A369" s="138" t="s">
        <v>833</v>
      </c>
      <c r="B369" s="136" t="s">
        <v>834</v>
      </c>
      <c r="C369" s="76">
        <v>1</v>
      </c>
      <c r="D369" s="77" t="s">
        <v>13</v>
      </c>
      <c r="E369" s="76"/>
      <c r="F369" s="78">
        <f t="shared" si="10"/>
        <v>429</v>
      </c>
      <c r="G369" s="78">
        <f t="shared" si="11"/>
        <v>367</v>
      </c>
      <c r="H369" s="79" t="s">
        <v>14</v>
      </c>
      <c r="I369" s="115" t="s">
        <v>835</v>
      </c>
      <c r="J369" s="81" t="s">
        <v>36</v>
      </c>
      <c r="K369" s="99"/>
      <c r="L369" s="83"/>
    </row>
    <row r="370" customHeight="1" spans="1:12">
      <c r="A370" s="84" t="s">
        <v>836</v>
      </c>
      <c r="B370" s="17" t="s">
        <v>837</v>
      </c>
      <c r="C370" s="46">
        <v>2</v>
      </c>
      <c r="D370" s="68" t="s">
        <v>13</v>
      </c>
      <c r="E370" s="85"/>
      <c r="F370" s="69">
        <f t="shared" si="10"/>
        <v>430</v>
      </c>
      <c r="G370" s="69">
        <f t="shared" si="11"/>
        <v>368</v>
      </c>
      <c r="H370" s="73" t="s">
        <v>14</v>
      </c>
      <c r="I370" s="87" t="s">
        <v>838</v>
      </c>
      <c r="J370" s="64"/>
      <c r="K370" s="65"/>
      <c r="L370" s="66" t="s">
        <v>839</v>
      </c>
    </row>
    <row r="371" customHeight="1" spans="1:12">
      <c r="A371" s="84" t="s">
        <v>840</v>
      </c>
      <c r="B371" s="17" t="s">
        <v>79</v>
      </c>
      <c r="C371" s="46">
        <v>1</v>
      </c>
      <c r="D371" s="68" t="s">
        <v>13</v>
      </c>
      <c r="E371" s="85"/>
      <c r="F371" s="69">
        <f t="shared" si="10"/>
        <v>432</v>
      </c>
      <c r="G371" s="69">
        <f t="shared" si="11"/>
        <v>369</v>
      </c>
      <c r="H371" s="73" t="s">
        <v>14</v>
      </c>
      <c r="I371" s="87" t="s">
        <v>841</v>
      </c>
      <c r="J371" s="64" t="s">
        <v>36</v>
      </c>
      <c r="K371" s="65"/>
      <c r="L371" s="72"/>
    </row>
    <row r="372" customHeight="1" spans="1:12">
      <c r="A372" s="84" t="s">
        <v>842</v>
      </c>
      <c r="B372" s="130" t="s">
        <v>63</v>
      </c>
      <c r="C372" s="46">
        <v>2</v>
      </c>
      <c r="D372" s="68" t="s">
        <v>26</v>
      </c>
      <c r="E372" s="85"/>
      <c r="F372" s="69">
        <f t="shared" si="10"/>
        <v>433</v>
      </c>
      <c r="G372" s="69">
        <f t="shared" si="11"/>
        <v>370</v>
      </c>
      <c r="H372" s="73" t="s">
        <v>27</v>
      </c>
      <c r="I372" s="98" t="s">
        <v>843</v>
      </c>
      <c r="J372" s="64" t="s">
        <v>36</v>
      </c>
      <c r="K372" s="65"/>
      <c r="L372" s="72"/>
    </row>
    <row r="373" customHeight="1" spans="1:12">
      <c r="A373" s="84" t="s">
        <v>844</v>
      </c>
      <c r="B373" s="130" t="s">
        <v>63</v>
      </c>
      <c r="C373" s="46">
        <v>2</v>
      </c>
      <c r="D373" s="68" t="s">
        <v>26</v>
      </c>
      <c r="E373" s="85"/>
      <c r="F373" s="69">
        <f t="shared" si="10"/>
        <v>435</v>
      </c>
      <c r="G373" s="69">
        <f t="shared" si="11"/>
        <v>371</v>
      </c>
      <c r="H373" s="73" t="s">
        <v>27</v>
      </c>
      <c r="I373" s="98" t="s">
        <v>845</v>
      </c>
      <c r="J373" s="64" t="s">
        <v>36</v>
      </c>
      <c r="K373" s="65"/>
      <c r="L373" s="72"/>
    </row>
    <row r="374" customHeight="1" spans="1:12">
      <c r="A374" s="84" t="s">
        <v>846</v>
      </c>
      <c r="B374" s="130" t="s">
        <v>63</v>
      </c>
      <c r="C374" s="46">
        <v>2</v>
      </c>
      <c r="D374" s="68" t="s">
        <v>26</v>
      </c>
      <c r="E374" s="85"/>
      <c r="F374" s="69">
        <f t="shared" si="10"/>
        <v>437</v>
      </c>
      <c r="G374" s="69">
        <f t="shared" si="11"/>
        <v>372</v>
      </c>
      <c r="H374" s="73" t="s">
        <v>27</v>
      </c>
      <c r="I374" s="98" t="s">
        <v>847</v>
      </c>
      <c r="J374" s="64" t="s">
        <v>36</v>
      </c>
      <c r="K374" s="65"/>
      <c r="L374" s="72"/>
    </row>
    <row r="375" customHeight="1" spans="1:12">
      <c r="A375" s="84" t="s">
        <v>848</v>
      </c>
      <c r="B375" s="130" t="s">
        <v>63</v>
      </c>
      <c r="C375" s="46">
        <v>2</v>
      </c>
      <c r="D375" s="68" t="s">
        <v>26</v>
      </c>
      <c r="E375" s="85"/>
      <c r="F375" s="69">
        <f t="shared" si="10"/>
        <v>439</v>
      </c>
      <c r="G375" s="69">
        <f t="shared" si="11"/>
        <v>373</v>
      </c>
      <c r="H375" s="73" t="s">
        <v>27</v>
      </c>
      <c r="I375" s="98" t="s">
        <v>849</v>
      </c>
      <c r="J375" s="64" t="s">
        <v>36</v>
      </c>
      <c r="K375" s="65"/>
      <c r="L375" s="72"/>
    </row>
    <row r="376" customHeight="1" spans="1:12">
      <c r="A376" s="84" t="s">
        <v>850</v>
      </c>
      <c r="B376" s="130" t="s">
        <v>63</v>
      </c>
      <c r="C376" s="46">
        <v>2</v>
      </c>
      <c r="D376" s="68" t="s">
        <v>26</v>
      </c>
      <c r="E376" s="85"/>
      <c r="F376" s="69">
        <f t="shared" si="10"/>
        <v>441</v>
      </c>
      <c r="G376" s="69">
        <f t="shared" si="11"/>
        <v>374</v>
      </c>
      <c r="H376" s="73" t="s">
        <v>27</v>
      </c>
      <c r="I376" s="98" t="s">
        <v>851</v>
      </c>
      <c r="J376" s="64" t="s">
        <v>36</v>
      </c>
      <c r="K376" s="65"/>
      <c r="L376" s="72"/>
    </row>
    <row r="377" customHeight="1" spans="1:12">
      <c r="A377" s="84" t="s">
        <v>852</v>
      </c>
      <c r="B377" s="130" t="s">
        <v>63</v>
      </c>
      <c r="C377" s="46">
        <v>2</v>
      </c>
      <c r="D377" s="68" t="s">
        <v>26</v>
      </c>
      <c r="E377" s="85"/>
      <c r="F377" s="69">
        <f t="shared" si="10"/>
        <v>443</v>
      </c>
      <c r="G377" s="69">
        <f t="shared" si="11"/>
        <v>375</v>
      </c>
      <c r="H377" s="73" t="s">
        <v>27</v>
      </c>
      <c r="I377" s="98" t="s">
        <v>853</v>
      </c>
      <c r="J377" s="64" t="s">
        <v>36</v>
      </c>
      <c r="K377" s="65"/>
      <c r="L377" s="72"/>
    </row>
    <row r="378" customHeight="1" spans="1:12">
      <c r="A378" s="84" t="s">
        <v>854</v>
      </c>
      <c r="B378" s="130" t="s">
        <v>63</v>
      </c>
      <c r="C378" s="46">
        <v>2</v>
      </c>
      <c r="D378" s="68" t="s">
        <v>26</v>
      </c>
      <c r="E378" s="85"/>
      <c r="F378" s="69">
        <f t="shared" si="10"/>
        <v>445</v>
      </c>
      <c r="G378" s="69">
        <f t="shared" si="11"/>
        <v>376</v>
      </c>
      <c r="H378" s="73" t="s">
        <v>27</v>
      </c>
      <c r="I378" s="98" t="s">
        <v>855</v>
      </c>
      <c r="J378" s="64" t="s">
        <v>36</v>
      </c>
      <c r="K378" s="65"/>
      <c r="L378" s="72"/>
    </row>
    <row r="379" customHeight="1" spans="1:12">
      <c r="A379" s="84" t="s">
        <v>856</v>
      </c>
      <c r="B379" s="17" t="s">
        <v>79</v>
      </c>
      <c r="C379" s="46">
        <v>1</v>
      </c>
      <c r="D379" s="68" t="s">
        <v>13</v>
      </c>
      <c r="E379" s="85"/>
      <c r="F379" s="69">
        <f t="shared" si="10"/>
        <v>447</v>
      </c>
      <c r="G379" s="69">
        <f t="shared" si="11"/>
        <v>377</v>
      </c>
      <c r="H379" s="73" t="s">
        <v>14</v>
      </c>
      <c r="I379" s="98" t="s">
        <v>857</v>
      </c>
      <c r="J379" s="64" t="s">
        <v>36</v>
      </c>
      <c r="K379" s="65"/>
      <c r="L379" s="72"/>
    </row>
    <row r="380" customHeight="1" spans="1:12">
      <c r="A380" s="84" t="s">
        <v>858</v>
      </c>
      <c r="B380" s="130" t="s">
        <v>63</v>
      </c>
      <c r="C380" s="46">
        <v>2</v>
      </c>
      <c r="D380" s="68" t="s">
        <v>26</v>
      </c>
      <c r="E380" s="85"/>
      <c r="F380" s="69">
        <f t="shared" si="10"/>
        <v>448</v>
      </c>
      <c r="G380" s="69">
        <f t="shared" si="11"/>
        <v>378</v>
      </c>
      <c r="H380" s="73" t="s">
        <v>27</v>
      </c>
      <c r="I380" s="98" t="s">
        <v>859</v>
      </c>
      <c r="J380" s="64" t="s">
        <v>36</v>
      </c>
      <c r="K380" s="65"/>
      <c r="L380" s="72"/>
    </row>
    <row r="381" customHeight="1" spans="1:12">
      <c r="A381" s="84" t="s">
        <v>860</v>
      </c>
      <c r="B381" s="130" t="s">
        <v>63</v>
      </c>
      <c r="C381" s="46">
        <v>2</v>
      </c>
      <c r="D381" s="68" t="s">
        <v>26</v>
      </c>
      <c r="E381" s="85"/>
      <c r="F381" s="69">
        <f t="shared" si="10"/>
        <v>450</v>
      </c>
      <c r="G381" s="69">
        <f t="shared" si="11"/>
        <v>379</v>
      </c>
      <c r="H381" s="73" t="s">
        <v>27</v>
      </c>
      <c r="I381" s="87" t="s">
        <v>861</v>
      </c>
      <c r="J381" s="64" t="s">
        <v>36</v>
      </c>
      <c r="K381" s="65"/>
      <c r="L381" s="72"/>
    </row>
    <row r="382" customHeight="1" spans="1:12">
      <c r="A382" s="84" t="s">
        <v>862</v>
      </c>
      <c r="B382" s="130" t="s">
        <v>63</v>
      </c>
      <c r="C382" s="46">
        <v>2</v>
      </c>
      <c r="D382" s="68" t="s">
        <v>26</v>
      </c>
      <c r="E382" s="85"/>
      <c r="F382" s="69">
        <f t="shared" si="10"/>
        <v>452</v>
      </c>
      <c r="G382" s="69">
        <f t="shared" si="11"/>
        <v>380</v>
      </c>
      <c r="H382" s="73" t="s">
        <v>27</v>
      </c>
      <c r="I382" s="87" t="s">
        <v>863</v>
      </c>
      <c r="J382" s="64" t="s">
        <v>36</v>
      </c>
      <c r="K382" s="65"/>
      <c r="L382" s="72"/>
    </row>
    <row r="383" customHeight="1" spans="1:12">
      <c r="A383" s="84" t="s">
        <v>864</v>
      </c>
      <c r="B383" s="130" t="s">
        <v>63</v>
      </c>
      <c r="C383" s="46">
        <v>2</v>
      </c>
      <c r="D383" s="68" t="s">
        <v>26</v>
      </c>
      <c r="E383" s="85"/>
      <c r="F383" s="69">
        <f t="shared" si="10"/>
        <v>454</v>
      </c>
      <c r="G383" s="69">
        <f t="shared" si="11"/>
        <v>381</v>
      </c>
      <c r="H383" s="73" t="s">
        <v>27</v>
      </c>
      <c r="I383" s="98" t="s">
        <v>865</v>
      </c>
      <c r="J383" s="64" t="s">
        <v>36</v>
      </c>
      <c r="K383" s="65"/>
      <c r="L383" s="72"/>
    </row>
    <row r="384" customHeight="1" spans="1:12">
      <c r="A384" s="84" t="s">
        <v>866</v>
      </c>
      <c r="B384" s="130" t="s">
        <v>63</v>
      </c>
      <c r="C384" s="46">
        <v>2</v>
      </c>
      <c r="D384" s="68" t="s">
        <v>26</v>
      </c>
      <c r="E384" s="85"/>
      <c r="F384" s="69">
        <f t="shared" si="10"/>
        <v>456</v>
      </c>
      <c r="G384" s="69">
        <f t="shared" si="11"/>
        <v>382</v>
      </c>
      <c r="H384" s="73" t="s">
        <v>27</v>
      </c>
      <c r="I384" s="98" t="s">
        <v>867</v>
      </c>
      <c r="J384" s="64" t="s">
        <v>36</v>
      </c>
      <c r="K384" s="65"/>
      <c r="L384" s="72"/>
    </row>
    <row r="385" customHeight="1" spans="1:12">
      <c r="A385" s="84" t="s">
        <v>868</v>
      </c>
      <c r="B385" s="130" t="s">
        <v>63</v>
      </c>
      <c r="C385" s="46">
        <v>2</v>
      </c>
      <c r="D385" s="68" t="s">
        <v>26</v>
      </c>
      <c r="E385" s="85"/>
      <c r="F385" s="69">
        <f t="shared" si="10"/>
        <v>458</v>
      </c>
      <c r="G385" s="69">
        <f t="shared" si="11"/>
        <v>383</v>
      </c>
      <c r="H385" s="73" t="s">
        <v>27</v>
      </c>
      <c r="I385" s="98" t="s">
        <v>869</v>
      </c>
      <c r="J385" s="64" t="s">
        <v>36</v>
      </c>
      <c r="K385" s="65"/>
      <c r="L385" s="72"/>
    </row>
    <row r="386" customHeight="1" spans="1:12">
      <c r="A386" s="84" t="s">
        <v>870</v>
      </c>
      <c r="B386" s="130" t="s">
        <v>63</v>
      </c>
      <c r="C386" s="46">
        <v>2</v>
      </c>
      <c r="D386" s="68" t="s">
        <v>26</v>
      </c>
      <c r="E386" s="85"/>
      <c r="F386" s="69">
        <f t="shared" si="10"/>
        <v>460</v>
      </c>
      <c r="G386" s="69">
        <f t="shared" si="11"/>
        <v>384</v>
      </c>
      <c r="H386" s="73" t="s">
        <v>27</v>
      </c>
      <c r="I386" s="98" t="s">
        <v>871</v>
      </c>
      <c r="J386" s="64" t="s">
        <v>36</v>
      </c>
      <c r="K386" s="65"/>
      <c r="L386" s="72"/>
    </row>
    <row r="387" customHeight="1" spans="1:12">
      <c r="A387" s="84" t="s">
        <v>872</v>
      </c>
      <c r="B387" s="17" t="s">
        <v>79</v>
      </c>
      <c r="C387" s="46">
        <v>1</v>
      </c>
      <c r="D387" s="68" t="s">
        <v>13</v>
      </c>
      <c r="E387" s="85"/>
      <c r="F387" s="69">
        <f t="shared" si="10"/>
        <v>462</v>
      </c>
      <c r="G387" s="69">
        <f t="shared" si="11"/>
        <v>385</v>
      </c>
      <c r="H387" s="73" t="s">
        <v>14</v>
      </c>
      <c r="I387" s="87" t="s">
        <v>873</v>
      </c>
      <c r="J387" s="64" t="s">
        <v>36</v>
      </c>
      <c r="K387" s="65"/>
      <c r="L387" s="72"/>
    </row>
    <row r="388" customHeight="1" spans="1:12">
      <c r="A388" s="84" t="s">
        <v>874</v>
      </c>
      <c r="B388" s="130" t="s">
        <v>63</v>
      </c>
      <c r="C388" s="46">
        <v>2</v>
      </c>
      <c r="D388" s="68" t="s">
        <v>26</v>
      </c>
      <c r="E388" s="85"/>
      <c r="F388" s="69">
        <f t="shared" ref="F388:F434" si="12">F387+C387</f>
        <v>463</v>
      </c>
      <c r="G388" s="69">
        <f t="shared" si="11"/>
        <v>386</v>
      </c>
      <c r="H388" s="73" t="s">
        <v>27</v>
      </c>
      <c r="I388" s="98" t="s">
        <v>875</v>
      </c>
      <c r="J388" s="64" t="s">
        <v>36</v>
      </c>
      <c r="K388" s="65"/>
      <c r="L388" s="72"/>
    </row>
    <row r="389" customHeight="1" spans="1:12">
      <c r="A389" s="84" t="s">
        <v>876</v>
      </c>
      <c r="B389" s="130" t="s">
        <v>63</v>
      </c>
      <c r="C389" s="46">
        <v>2</v>
      </c>
      <c r="D389" s="68" t="s">
        <v>26</v>
      </c>
      <c r="E389" s="85"/>
      <c r="F389" s="69">
        <f t="shared" si="12"/>
        <v>465</v>
      </c>
      <c r="G389" s="69">
        <f t="shared" si="11"/>
        <v>387</v>
      </c>
      <c r="H389" s="73" t="s">
        <v>27</v>
      </c>
      <c r="I389" s="98" t="s">
        <v>877</v>
      </c>
      <c r="J389" s="64" t="s">
        <v>36</v>
      </c>
      <c r="K389" s="65"/>
      <c r="L389" s="72"/>
    </row>
    <row r="390" customHeight="1" spans="1:12">
      <c r="A390" s="84" t="s">
        <v>878</v>
      </c>
      <c r="B390" s="130" t="s">
        <v>63</v>
      </c>
      <c r="C390" s="46">
        <v>2</v>
      </c>
      <c r="D390" s="68" t="s">
        <v>26</v>
      </c>
      <c r="E390" s="85"/>
      <c r="F390" s="69">
        <f t="shared" si="12"/>
        <v>467</v>
      </c>
      <c r="G390" s="69">
        <f t="shared" si="11"/>
        <v>388</v>
      </c>
      <c r="H390" s="73" t="s">
        <v>27</v>
      </c>
      <c r="I390" s="98" t="s">
        <v>879</v>
      </c>
      <c r="J390" s="64" t="s">
        <v>36</v>
      </c>
      <c r="K390" s="65"/>
      <c r="L390" s="72"/>
    </row>
    <row r="391" customHeight="1" spans="1:12">
      <c r="A391" s="84" t="s">
        <v>880</v>
      </c>
      <c r="B391" s="130" t="s">
        <v>63</v>
      </c>
      <c r="C391" s="46">
        <v>2</v>
      </c>
      <c r="D391" s="68" t="s">
        <v>26</v>
      </c>
      <c r="E391" s="85"/>
      <c r="F391" s="69">
        <f t="shared" si="12"/>
        <v>469</v>
      </c>
      <c r="G391" s="69">
        <f t="shared" si="11"/>
        <v>389</v>
      </c>
      <c r="H391" s="73" t="s">
        <v>27</v>
      </c>
      <c r="I391" s="98" t="s">
        <v>881</v>
      </c>
      <c r="J391" s="64" t="s">
        <v>36</v>
      </c>
      <c r="K391" s="65"/>
      <c r="L391" s="72"/>
    </row>
    <row r="392" customHeight="1" spans="1:12">
      <c r="A392" s="84" t="s">
        <v>882</v>
      </c>
      <c r="B392" s="130" t="s">
        <v>63</v>
      </c>
      <c r="C392" s="46">
        <v>2</v>
      </c>
      <c r="D392" s="68" t="s">
        <v>26</v>
      </c>
      <c r="E392" s="85"/>
      <c r="F392" s="69">
        <f t="shared" si="12"/>
        <v>471</v>
      </c>
      <c r="G392" s="69">
        <f t="shared" si="11"/>
        <v>390</v>
      </c>
      <c r="H392" s="73" t="s">
        <v>27</v>
      </c>
      <c r="I392" s="98" t="s">
        <v>883</v>
      </c>
      <c r="J392" s="64" t="s">
        <v>36</v>
      </c>
      <c r="K392" s="65"/>
      <c r="L392" s="72"/>
    </row>
    <row r="393" customHeight="1" spans="1:12">
      <c r="A393" s="84" t="s">
        <v>884</v>
      </c>
      <c r="B393" s="130" t="s">
        <v>63</v>
      </c>
      <c r="C393" s="46">
        <v>2</v>
      </c>
      <c r="D393" s="68" t="s">
        <v>26</v>
      </c>
      <c r="E393" s="85"/>
      <c r="F393" s="69">
        <f t="shared" si="12"/>
        <v>473</v>
      </c>
      <c r="G393" s="69">
        <f t="shared" si="11"/>
        <v>391</v>
      </c>
      <c r="H393" s="73" t="s">
        <v>27</v>
      </c>
      <c r="I393" s="98" t="s">
        <v>885</v>
      </c>
      <c r="J393" s="64" t="s">
        <v>36</v>
      </c>
      <c r="K393" s="65"/>
      <c r="L393" s="72"/>
    </row>
    <row r="394" customHeight="1" spans="1:12">
      <c r="A394" s="84" t="s">
        <v>886</v>
      </c>
      <c r="B394" s="130" t="s">
        <v>63</v>
      </c>
      <c r="C394" s="46">
        <v>2</v>
      </c>
      <c r="D394" s="68" t="s">
        <v>26</v>
      </c>
      <c r="E394" s="85"/>
      <c r="F394" s="69">
        <f t="shared" si="12"/>
        <v>475</v>
      </c>
      <c r="G394" s="69">
        <f t="shared" si="11"/>
        <v>392</v>
      </c>
      <c r="H394" s="73" t="s">
        <v>27</v>
      </c>
      <c r="I394" s="70" t="s">
        <v>887</v>
      </c>
      <c r="J394" s="64" t="s">
        <v>36</v>
      </c>
      <c r="K394" s="65"/>
      <c r="L394" s="72"/>
    </row>
    <row r="395" customHeight="1" spans="1:12">
      <c r="A395" s="84" t="s">
        <v>888</v>
      </c>
      <c r="B395" s="17" t="s">
        <v>79</v>
      </c>
      <c r="C395" s="46">
        <v>1</v>
      </c>
      <c r="D395" s="68" t="s">
        <v>13</v>
      </c>
      <c r="E395" s="85"/>
      <c r="F395" s="69">
        <f t="shared" si="12"/>
        <v>477</v>
      </c>
      <c r="G395" s="69">
        <f t="shared" si="11"/>
        <v>393</v>
      </c>
      <c r="H395" s="73" t="s">
        <v>14</v>
      </c>
      <c r="I395" s="70" t="s">
        <v>889</v>
      </c>
      <c r="J395" s="64" t="s">
        <v>36</v>
      </c>
      <c r="K395" s="65"/>
      <c r="L395" s="72"/>
    </row>
    <row r="396" customHeight="1" spans="1:12">
      <c r="A396" s="110" t="s">
        <v>890</v>
      </c>
      <c r="B396" s="130" t="s">
        <v>63</v>
      </c>
      <c r="C396" s="46">
        <v>2</v>
      </c>
      <c r="D396" s="68" t="s">
        <v>26</v>
      </c>
      <c r="E396" s="85"/>
      <c r="F396" s="69">
        <f t="shared" si="12"/>
        <v>478</v>
      </c>
      <c r="G396" s="69">
        <f t="shared" ref="G396:G434" si="13">G395+1</f>
        <v>394</v>
      </c>
      <c r="H396" s="73" t="s">
        <v>27</v>
      </c>
      <c r="I396" s="70" t="s">
        <v>891</v>
      </c>
      <c r="J396" s="64" t="s">
        <v>36</v>
      </c>
      <c r="K396" s="65"/>
      <c r="L396" s="72"/>
    </row>
    <row r="397" customHeight="1" spans="1:12">
      <c r="A397" s="110" t="s">
        <v>892</v>
      </c>
      <c r="B397" s="130" t="s">
        <v>63</v>
      </c>
      <c r="C397" s="46">
        <v>2</v>
      </c>
      <c r="D397" s="68" t="s">
        <v>26</v>
      </c>
      <c r="E397" s="85"/>
      <c r="F397" s="69">
        <f t="shared" si="12"/>
        <v>480</v>
      </c>
      <c r="G397" s="69">
        <f t="shared" si="13"/>
        <v>395</v>
      </c>
      <c r="H397" s="73" t="s">
        <v>27</v>
      </c>
      <c r="I397" s="70" t="s">
        <v>893</v>
      </c>
      <c r="J397" s="64" t="s">
        <v>36</v>
      </c>
      <c r="K397" s="65"/>
      <c r="L397" s="72"/>
    </row>
    <row r="398" customHeight="1" spans="1:12">
      <c r="A398" s="110" t="s">
        <v>894</v>
      </c>
      <c r="B398" s="130" t="s">
        <v>63</v>
      </c>
      <c r="C398" s="46">
        <v>2</v>
      </c>
      <c r="D398" s="68" t="s">
        <v>26</v>
      </c>
      <c r="E398" s="85"/>
      <c r="F398" s="69">
        <f t="shared" si="12"/>
        <v>482</v>
      </c>
      <c r="G398" s="69">
        <f t="shared" si="13"/>
        <v>396</v>
      </c>
      <c r="H398" s="73" t="s">
        <v>27</v>
      </c>
      <c r="I398" s="70" t="s">
        <v>895</v>
      </c>
      <c r="J398" s="64" t="s">
        <v>36</v>
      </c>
      <c r="K398" s="65"/>
      <c r="L398" s="72"/>
    </row>
    <row r="399" customHeight="1" spans="1:12">
      <c r="A399" s="110" t="s">
        <v>896</v>
      </c>
      <c r="B399" s="130" t="s">
        <v>63</v>
      </c>
      <c r="C399" s="46">
        <v>2</v>
      </c>
      <c r="D399" s="68" t="s">
        <v>26</v>
      </c>
      <c r="E399" s="85"/>
      <c r="F399" s="69">
        <f t="shared" si="12"/>
        <v>484</v>
      </c>
      <c r="G399" s="69">
        <f t="shared" si="13"/>
        <v>397</v>
      </c>
      <c r="H399" s="73" t="s">
        <v>27</v>
      </c>
      <c r="I399" s="70" t="s">
        <v>897</v>
      </c>
      <c r="J399" s="64" t="s">
        <v>36</v>
      </c>
      <c r="K399" s="65"/>
      <c r="L399" s="72"/>
    </row>
    <row r="400" customHeight="1" spans="1:12">
      <c r="A400" s="110" t="s">
        <v>898</v>
      </c>
      <c r="B400" s="130" t="s">
        <v>63</v>
      </c>
      <c r="C400" s="46">
        <v>2</v>
      </c>
      <c r="D400" s="68" t="s">
        <v>26</v>
      </c>
      <c r="E400" s="85"/>
      <c r="F400" s="69">
        <f t="shared" si="12"/>
        <v>486</v>
      </c>
      <c r="G400" s="69">
        <f t="shared" si="13"/>
        <v>398</v>
      </c>
      <c r="H400" s="73" t="s">
        <v>27</v>
      </c>
      <c r="I400" s="70" t="s">
        <v>899</v>
      </c>
      <c r="J400" s="64" t="s">
        <v>36</v>
      </c>
      <c r="K400" s="65"/>
      <c r="L400" s="72"/>
    </row>
    <row r="401" customHeight="1" spans="1:12">
      <c r="A401" s="110" t="s">
        <v>900</v>
      </c>
      <c r="B401" s="130" t="s">
        <v>63</v>
      </c>
      <c r="C401" s="46">
        <v>2</v>
      </c>
      <c r="D401" s="68" t="s">
        <v>26</v>
      </c>
      <c r="E401" s="85"/>
      <c r="F401" s="69">
        <f t="shared" si="12"/>
        <v>488</v>
      </c>
      <c r="G401" s="69">
        <f t="shared" si="13"/>
        <v>399</v>
      </c>
      <c r="H401" s="73" t="s">
        <v>27</v>
      </c>
      <c r="I401" s="70" t="s">
        <v>901</v>
      </c>
      <c r="J401" s="64" t="s">
        <v>36</v>
      </c>
      <c r="K401" s="65"/>
      <c r="L401" s="72"/>
    </row>
    <row r="402" customHeight="1" spans="1:12">
      <c r="A402" s="110" t="s">
        <v>902</v>
      </c>
      <c r="B402" s="130" t="s">
        <v>63</v>
      </c>
      <c r="C402" s="46">
        <v>2</v>
      </c>
      <c r="D402" s="68" t="s">
        <v>26</v>
      </c>
      <c r="E402" s="85"/>
      <c r="F402" s="69">
        <f t="shared" si="12"/>
        <v>490</v>
      </c>
      <c r="G402" s="69">
        <f t="shared" si="13"/>
        <v>400</v>
      </c>
      <c r="H402" s="73" t="s">
        <v>27</v>
      </c>
      <c r="I402" s="70" t="s">
        <v>903</v>
      </c>
      <c r="J402" s="64" t="s">
        <v>36</v>
      </c>
      <c r="K402" s="65"/>
      <c r="L402" s="72"/>
    </row>
    <row r="403" customHeight="1" spans="1:12">
      <c r="A403" s="67" t="s">
        <v>904</v>
      </c>
      <c r="B403" s="17" t="s">
        <v>79</v>
      </c>
      <c r="C403" s="46">
        <v>1</v>
      </c>
      <c r="D403" s="68" t="s">
        <v>13</v>
      </c>
      <c r="E403" s="85"/>
      <c r="F403" s="69">
        <f t="shared" si="12"/>
        <v>492</v>
      </c>
      <c r="G403" s="69">
        <f t="shared" si="13"/>
        <v>401</v>
      </c>
      <c r="H403" s="73" t="s">
        <v>14</v>
      </c>
      <c r="I403" s="70" t="s">
        <v>905</v>
      </c>
      <c r="J403" s="64" t="s">
        <v>36</v>
      </c>
      <c r="K403" s="65"/>
      <c r="L403" s="72"/>
    </row>
    <row r="404" customHeight="1" spans="1:12">
      <c r="A404" s="67" t="s">
        <v>906</v>
      </c>
      <c r="B404" s="130" t="s">
        <v>63</v>
      </c>
      <c r="C404" s="46">
        <v>2</v>
      </c>
      <c r="D404" s="68" t="s">
        <v>26</v>
      </c>
      <c r="E404" s="85"/>
      <c r="F404" s="69">
        <f t="shared" si="12"/>
        <v>493</v>
      </c>
      <c r="G404" s="69">
        <f t="shared" si="13"/>
        <v>402</v>
      </c>
      <c r="H404" s="73" t="s">
        <v>27</v>
      </c>
      <c r="I404" s="70" t="s">
        <v>907</v>
      </c>
      <c r="J404" s="64" t="s">
        <v>36</v>
      </c>
      <c r="K404" s="65"/>
      <c r="L404" s="72"/>
    </row>
    <row r="405" customHeight="1" spans="1:12">
      <c r="A405" s="67" t="s">
        <v>908</v>
      </c>
      <c r="B405" s="130" t="s">
        <v>63</v>
      </c>
      <c r="C405" s="46">
        <v>2</v>
      </c>
      <c r="D405" s="68" t="s">
        <v>26</v>
      </c>
      <c r="E405" s="85"/>
      <c r="F405" s="69">
        <f t="shared" si="12"/>
        <v>495</v>
      </c>
      <c r="G405" s="69">
        <f t="shared" si="13"/>
        <v>403</v>
      </c>
      <c r="H405" s="73" t="s">
        <v>27</v>
      </c>
      <c r="I405" s="70" t="s">
        <v>909</v>
      </c>
      <c r="J405" s="64" t="s">
        <v>36</v>
      </c>
      <c r="K405" s="65"/>
      <c r="L405" s="72"/>
    </row>
    <row r="406" customHeight="1" spans="1:12">
      <c r="A406" s="67" t="s">
        <v>910</v>
      </c>
      <c r="B406" s="130" t="s">
        <v>63</v>
      </c>
      <c r="C406" s="46">
        <v>2</v>
      </c>
      <c r="D406" s="68" t="s">
        <v>26</v>
      </c>
      <c r="E406" s="85"/>
      <c r="F406" s="69">
        <f t="shared" si="12"/>
        <v>497</v>
      </c>
      <c r="G406" s="69">
        <f t="shared" si="13"/>
        <v>404</v>
      </c>
      <c r="H406" s="73" t="s">
        <v>27</v>
      </c>
      <c r="I406" s="70" t="s">
        <v>911</v>
      </c>
      <c r="J406" s="64" t="s">
        <v>36</v>
      </c>
      <c r="K406" s="65"/>
      <c r="L406" s="72"/>
    </row>
    <row r="407" customHeight="1" spans="1:12">
      <c r="A407" s="67" t="s">
        <v>912</v>
      </c>
      <c r="B407" s="130" t="s">
        <v>63</v>
      </c>
      <c r="C407" s="46">
        <v>2</v>
      </c>
      <c r="D407" s="68" t="s">
        <v>26</v>
      </c>
      <c r="E407" s="85"/>
      <c r="F407" s="69">
        <f t="shared" si="12"/>
        <v>499</v>
      </c>
      <c r="G407" s="69">
        <f t="shared" si="13"/>
        <v>405</v>
      </c>
      <c r="H407" s="73" t="s">
        <v>27</v>
      </c>
      <c r="I407" s="70" t="s">
        <v>913</v>
      </c>
      <c r="J407" s="64" t="s">
        <v>36</v>
      </c>
      <c r="K407" s="65"/>
      <c r="L407" s="72"/>
    </row>
    <row r="408" customHeight="1" spans="1:12">
      <c r="A408" s="67" t="s">
        <v>914</v>
      </c>
      <c r="B408" s="130" t="s">
        <v>63</v>
      </c>
      <c r="C408" s="46">
        <v>2</v>
      </c>
      <c r="D408" s="68" t="s">
        <v>26</v>
      </c>
      <c r="E408" s="85"/>
      <c r="F408" s="69">
        <f t="shared" si="12"/>
        <v>501</v>
      </c>
      <c r="G408" s="69">
        <f t="shared" si="13"/>
        <v>406</v>
      </c>
      <c r="H408" s="73" t="s">
        <v>27</v>
      </c>
      <c r="I408" s="70" t="s">
        <v>915</v>
      </c>
      <c r="J408" s="64" t="s">
        <v>36</v>
      </c>
      <c r="K408" s="65"/>
      <c r="L408" s="72"/>
    </row>
    <row r="409" customHeight="1" spans="1:12">
      <c r="A409" s="67" t="s">
        <v>916</v>
      </c>
      <c r="B409" s="130" t="s">
        <v>63</v>
      </c>
      <c r="C409" s="46">
        <v>2</v>
      </c>
      <c r="D409" s="68" t="s">
        <v>26</v>
      </c>
      <c r="E409" s="85"/>
      <c r="F409" s="69">
        <f t="shared" si="12"/>
        <v>503</v>
      </c>
      <c r="G409" s="69">
        <f t="shared" si="13"/>
        <v>407</v>
      </c>
      <c r="H409" s="73" t="s">
        <v>27</v>
      </c>
      <c r="I409" s="70" t="s">
        <v>917</v>
      </c>
      <c r="J409" s="64" t="s">
        <v>36</v>
      </c>
      <c r="K409" s="65"/>
      <c r="L409" s="72"/>
    </row>
    <row r="410" customHeight="1" spans="1:12">
      <c r="A410" s="67" t="s">
        <v>918</v>
      </c>
      <c r="B410" s="130" t="s">
        <v>63</v>
      </c>
      <c r="C410" s="46">
        <v>2</v>
      </c>
      <c r="D410" s="68" t="s">
        <v>26</v>
      </c>
      <c r="E410" s="85"/>
      <c r="F410" s="69">
        <f t="shared" si="12"/>
        <v>505</v>
      </c>
      <c r="G410" s="69">
        <f t="shared" si="13"/>
        <v>408</v>
      </c>
      <c r="H410" s="73" t="s">
        <v>27</v>
      </c>
      <c r="I410" s="70" t="s">
        <v>919</v>
      </c>
      <c r="J410" s="64" t="s">
        <v>36</v>
      </c>
      <c r="K410" s="65"/>
      <c r="L410" s="72"/>
    </row>
    <row r="411" customHeight="1" spans="1:12">
      <c r="A411" s="84" t="s">
        <v>920</v>
      </c>
      <c r="B411" s="17" t="s">
        <v>79</v>
      </c>
      <c r="C411" s="46">
        <v>1</v>
      </c>
      <c r="D411" s="68" t="s">
        <v>13</v>
      </c>
      <c r="E411" s="85"/>
      <c r="F411" s="69">
        <f t="shared" si="12"/>
        <v>507</v>
      </c>
      <c r="G411" s="69">
        <f t="shared" si="13"/>
        <v>409</v>
      </c>
      <c r="H411" s="73" t="s">
        <v>14</v>
      </c>
      <c r="I411" s="87" t="s">
        <v>921</v>
      </c>
      <c r="J411" s="64" t="s">
        <v>36</v>
      </c>
      <c r="K411" s="65"/>
      <c r="L411" s="72"/>
    </row>
    <row r="412" customHeight="1" spans="1:12">
      <c r="A412" s="110" t="s">
        <v>922</v>
      </c>
      <c r="B412" s="130" t="s">
        <v>63</v>
      </c>
      <c r="C412" s="46">
        <v>2</v>
      </c>
      <c r="D412" s="68" t="s">
        <v>26</v>
      </c>
      <c r="E412" s="85"/>
      <c r="F412" s="69">
        <f t="shared" si="12"/>
        <v>508</v>
      </c>
      <c r="G412" s="69">
        <f t="shared" si="13"/>
        <v>410</v>
      </c>
      <c r="H412" s="73" t="s">
        <v>27</v>
      </c>
      <c r="I412" s="70" t="s">
        <v>923</v>
      </c>
      <c r="J412" s="64" t="s">
        <v>36</v>
      </c>
      <c r="K412" s="65"/>
      <c r="L412" s="72"/>
    </row>
    <row r="413" customHeight="1" spans="1:12">
      <c r="A413" s="110" t="s">
        <v>924</v>
      </c>
      <c r="B413" s="130" t="s">
        <v>63</v>
      </c>
      <c r="C413" s="46">
        <v>2</v>
      </c>
      <c r="D413" s="68" t="s">
        <v>26</v>
      </c>
      <c r="E413" s="85"/>
      <c r="F413" s="69">
        <f t="shared" si="12"/>
        <v>510</v>
      </c>
      <c r="G413" s="69">
        <f t="shared" si="13"/>
        <v>411</v>
      </c>
      <c r="H413" s="73" t="s">
        <v>27</v>
      </c>
      <c r="I413" s="70" t="s">
        <v>925</v>
      </c>
      <c r="J413" s="64" t="s">
        <v>36</v>
      </c>
      <c r="K413" s="65"/>
      <c r="L413" s="72"/>
    </row>
    <row r="414" customHeight="1" spans="1:12">
      <c r="A414" s="110" t="s">
        <v>926</v>
      </c>
      <c r="B414" s="130" t="s">
        <v>63</v>
      </c>
      <c r="C414" s="46">
        <v>2</v>
      </c>
      <c r="D414" s="68" t="s">
        <v>26</v>
      </c>
      <c r="E414" s="85"/>
      <c r="F414" s="69">
        <f t="shared" si="12"/>
        <v>512</v>
      </c>
      <c r="G414" s="69">
        <f t="shared" si="13"/>
        <v>412</v>
      </c>
      <c r="H414" s="73" t="s">
        <v>27</v>
      </c>
      <c r="I414" s="70" t="s">
        <v>927</v>
      </c>
      <c r="J414" s="64" t="s">
        <v>36</v>
      </c>
      <c r="K414" s="65"/>
      <c r="L414" s="72"/>
    </row>
    <row r="415" customHeight="1" spans="1:12">
      <c r="A415" s="110" t="s">
        <v>928</v>
      </c>
      <c r="B415" s="130" t="s">
        <v>63</v>
      </c>
      <c r="C415" s="46">
        <v>2</v>
      </c>
      <c r="D415" s="68" t="s">
        <v>26</v>
      </c>
      <c r="E415" s="85"/>
      <c r="F415" s="69">
        <f t="shared" si="12"/>
        <v>514</v>
      </c>
      <c r="G415" s="69">
        <f t="shared" si="13"/>
        <v>413</v>
      </c>
      <c r="H415" s="73" t="s">
        <v>27</v>
      </c>
      <c r="I415" s="70" t="s">
        <v>929</v>
      </c>
      <c r="J415" s="64" t="s">
        <v>36</v>
      </c>
      <c r="K415" s="65"/>
      <c r="L415" s="72"/>
    </row>
    <row r="416" customHeight="1" spans="1:12">
      <c r="A416" s="110" t="s">
        <v>930</v>
      </c>
      <c r="B416" s="130" t="s">
        <v>63</v>
      </c>
      <c r="C416" s="46">
        <v>2</v>
      </c>
      <c r="D416" s="68" t="s">
        <v>26</v>
      </c>
      <c r="E416" s="85"/>
      <c r="F416" s="69">
        <f t="shared" si="12"/>
        <v>516</v>
      </c>
      <c r="G416" s="69">
        <f t="shared" si="13"/>
        <v>414</v>
      </c>
      <c r="H416" s="73" t="s">
        <v>27</v>
      </c>
      <c r="I416" s="70" t="s">
        <v>931</v>
      </c>
      <c r="J416" s="64" t="s">
        <v>36</v>
      </c>
      <c r="K416" s="65"/>
      <c r="L416" s="72"/>
    </row>
    <row r="417" customHeight="1" spans="1:12">
      <c r="A417" s="110" t="s">
        <v>932</v>
      </c>
      <c r="B417" s="130" t="s">
        <v>63</v>
      </c>
      <c r="C417" s="46">
        <v>2</v>
      </c>
      <c r="D417" s="68" t="s">
        <v>26</v>
      </c>
      <c r="E417" s="85"/>
      <c r="F417" s="69">
        <f t="shared" si="12"/>
        <v>518</v>
      </c>
      <c r="G417" s="69">
        <f t="shared" si="13"/>
        <v>415</v>
      </c>
      <c r="H417" s="73" t="s">
        <v>27</v>
      </c>
      <c r="I417" s="70" t="s">
        <v>933</v>
      </c>
      <c r="J417" s="64" t="s">
        <v>36</v>
      </c>
      <c r="K417" s="65"/>
      <c r="L417" s="72"/>
    </row>
    <row r="418" customHeight="1" spans="1:12">
      <c r="A418" s="110" t="s">
        <v>934</v>
      </c>
      <c r="B418" s="130" t="s">
        <v>63</v>
      </c>
      <c r="C418" s="46">
        <v>2</v>
      </c>
      <c r="D418" s="68" t="s">
        <v>26</v>
      </c>
      <c r="E418" s="85"/>
      <c r="F418" s="69">
        <f t="shared" si="12"/>
        <v>520</v>
      </c>
      <c r="G418" s="69">
        <f t="shared" si="13"/>
        <v>416</v>
      </c>
      <c r="H418" s="73" t="s">
        <v>27</v>
      </c>
      <c r="I418" s="70" t="s">
        <v>935</v>
      </c>
      <c r="J418" s="64" t="s">
        <v>36</v>
      </c>
      <c r="K418" s="65"/>
      <c r="L418" s="72"/>
    </row>
    <row r="419" ht="25.5" customHeight="1" spans="1:12">
      <c r="A419" s="88" t="s">
        <v>936</v>
      </c>
      <c r="B419" s="44" t="s">
        <v>937</v>
      </c>
      <c r="C419" s="50">
        <v>2</v>
      </c>
      <c r="D419" s="89" t="s">
        <v>13</v>
      </c>
      <c r="E419" s="50"/>
      <c r="F419" s="142">
        <f t="shared" si="12"/>
        <v>522</v>
      </c>
      <c r="G419" s="142">
        <f t="shared" si="13"/>
        <v>417</v>
      </c>
      <c r="H419" s="143" t="s">
        <v>14</v>
      </c>
      <c r="I419" s="104" t="s">
        <v>938</v>
      </c>
      <c r="J419" s="81"/>
      <c r="K419" s="96"/>
      <c r="L419" s="83"/>
    </row>
    <row r="420" customHeight="1" spans="1:12">
      <c r="A420" s="122" t="s">
        <v>939</v>
      </c>
      <c r="B420" s="123" t="s">
        <v>940</v>
      </c>
      <c r="C420" s="126">
        <v>1</v>
      </c>
      <c r="D420" s="131" t="s">
        <v>13</v>
      </c>
      <c r="E420" s="126"/>
      <c r="F420" s="116">
        <f t="shared" si="12"/>
        <v>524</v>
      </c>
      <c r="G420" s="116">
        <f t="shared" si="13"/>
        <v>418</v>
      </c>
      <c r="H420" s="127" t="s">
        <v>14</v>
      </c>
      <c r="I420" s="144" t="s">
        <v>941</v>
      </c>
      <c r="J420" s="64"/>
      <c r="K420" s="65"/>
      <c r="L420" s="66" t="s">
        <v>942</v>
      </c>
    </row>
    <row r="421" customHeight="1" spans="1:12">
      <c r="A421" s="84" t="s">
        <v>943</v>
      </c>
      <c r="B421" s="17" t="s">
        <v>944</v>
      </c>
      <c r="C421" s="85">
        <v>1</v>
      </c>
      <c r="D421" s="86" t="s">
        <v>13</v>
      </c>
      <c r="E421" s="85"/>
      <c r="F421" s="69">
        <f t="shared" si="12"/>
        <v>525</v>
      </c>
      <c r="G421" s="69">
        <f t="shared" si="13"/>
        <v>419</v>
      </c>
      <c r="H421" s="73" t="s">
        <v>14</v>
      </c>
      <c r="I421" s="70" t="s">
        <v>945</v>
      </c>
      <c r="J421" s="64"/>
      <c r="K421" s="65"/>
      <c r="L421" s="72"/>
    </row>
    <row r="422" ht="12.75" spans="1:12">
      <c r="A422" s="99" t="s">
        <v>946</v>
      </c>
      <c r="B422" s="45" t="s">
        <v>947</v>
      </c>
      <c r="C422" s="92">
        <v>1</v>
      </c>
      <c r="D422" s="93" t="s">
        <v>13</v>
      </c>
      <c r="E422" s="92"/>
      <c r="F422" s="78">
        <f t="shared" si="12"/>
        <v>526</v>
      </c>
      <c r="G422" s="78">
        <f t="shared" si="13"/>
        <v>420</v>
      </c>
      <c r="H422" s="79" t="s">
        <v>14</v>
      </c>
      <c r="I422" s="80" t="s">
        <v>948</v>
      </c>
      <c r="J422" s="81"/>
      <c r="K422" s="96"/>
      <c r="L422" s="83"/>
    </row>
    <row r="423" ht="12.75" customHeight="1" spans="1:12">
      <c r="A423" s="122" t="s">
        <v>949</v>
      </c>
      <c r="B423" s="17" t="s">
        <v>79</v>
      </c>
      <c r="C423" s="126">
        <v>1</v>
      </c>
      <c r="D423" s="131" t="s">
        <v>13</v>
      </c>
      <c r="E423" s="126"/>
      <c r="F423" s="116">
        <f t="shared" si="12"/>
        <v>527</v>
      </c>
      <c r="G423" s="116">
        <f t="shared" si="13"/>
        <v>421</v>
      </c>
      <c r="H423" s="127" t="s">
        <v>14</v>
      </c>
      <c r="I423" s="144" t="s">
        <v>950</v>
      </c>
      <c r="J423" s="64"/>
      <c r="K423" s="65"/>
      <c r="L423" s="66" t="s">
        <v>951</v>
      </c>
    </row>
    <row r="424" customHeight="1" spans="1:12">
      <c r="A424" s="84" t="s">
        <v>952</v>
      </c>
      <c r="B424" s="17" t="s">
        <v>953</v>
      </c>
      <c r="C424" s="85">
        <v>1</v>
      </c>
      <c r="D424" s="86" t="s">
        <v>13</v>
      </c>
      <c r="E424" s="85"/>
      <c r="F424" s="69">
        <f t="shared" si="12"/>
        <v>528</v>
      </c>
      <c r="G424" s="69">
        <f t="shared" si="13"/>
        <v>422</v>
      </c>
      <c r="H424" s="73" t="s">
        <v>14</v>
      </c>
      <c r="I424" s="87" t="s">
        <v>954</v>
      </c>
      <c r="J424" s="64" t="s">
        <v>36</v>
      </c>
      <c r="K424" s="65"/>
      <c r="L424" s="72"/>
    </row>
    <row r="425" ht="12.75" spans="1:12">
      <c r="A425" s="99" t="s">
        <v>955</v>
      </c>
      <c r="B425" s="45" t="s">
        <v>956</v>
      </c>
      <c r="C425" s="92">
        <v>1</v>
      </c>
      <c r="D425" s="93" t="s">
        <v>13</v>
      </c>
      <c r="E425" s="92"/>
      <c r="F425" s="78">
        <f t="shared" si="12"/>
        <v>529</v>
      </c>
      <c r="G425" s="78">
        <f t="shared" si="13"/>
        <v>423</v>
      </c>
      <c r="H425" s="79" t="s">
        <v>14</v>
      </c>
      <c r="I425" s="95" t="s">
        <v>957</v>
      </c>
      <c r="J425" s="64" t="s">
        <v>36</v>
      </c>
      <c r="K425" s="65"/>
      <c r="L425" s="83"/>
    </row>
    <row r="426" customHeight="1" spans="1:12">
      <c r="A426" s="145" t="s">
        <v>958</v>
      </c>
      <c r="B426" s="146"/>
      <c r="C426" s="147">
        <v>9</v>
      </c>
      <c r="D426" s="147" t="s">
        <v>26</v>
      </c>
      <c r="E426" s="148">
        <v>3</v>
      </c>
      <c r="F426" s="116">
        <f t="shared" si="12"/>
        <v>530</v>
      </c>
      <c r="G426" s="116">
        <f t="shared" si="13"/>
        <v>424</v>
      </c>
      <c r="H426" s="116"/>
      <c r="I426" s="149" t="s">
        <v>959</v>
      </c>
      <c r="J426" s="129"/>
      <c r="K426" s="123"/>
      <c r="L426" s="66" t="s">
        <v>960</v>
      </c>
    </row>
    <row r="427" customHeight="1" spans="1:12">
      <c r="A427" s="84" t="s">
        <v>961</v>
      </c>
      <c r="B427" s="17" t="s">
        <v>962</v>
      </c>
      <c r="C427" s="85">
        <v>1</v>
      </c>
      <c r="D427" s="85" t="s">
        <v>13</v>
      </c>
      <c r="E427" s="150"/>
      <c r="F427" s="69">
        <f t="shared" si="12"/>
        <v>539</v>
      </c>
      <c r="G427" s="69">
        <f t="shared" si="13"/>
        <v>425</v>
      </c>
      <c r="H427" s="133" t="s">
        <v>14</v>
      </c>
      <c r="I427" s="21" t="s">
        <v>963</v>
      </c>
      <c r="J427" s="64"/>
      <c r="L427" s="72"/>
    </row>
    <row r="428" customHeight="1" spans="1:12">
      <c r="A428" s="84" t="s">
        <v>964</v>
      </c>
      <c r="B428" s="17" t="s">
        <v>965</v>
      </c>
      <c r="C428" s="85">
        <v>1</v>
      </c>
      <c r="D428" s="85" t="s">
        <v>13</v>
      </c>
      <c r="E428" s="150"/>
      <c r="F428" s="69">
        <f t="shared" si="12"/>
        <v>540</v>
      </c>
      <c r="G428" s="69">
        <f t="shared" si="13"/>
        <v>426</v>
      </c>
      <c r="H428" s="133" t="s">
        <v>14</v>
      </c>
      <c r="I428" s="112" t="s">
        <v>966</v>
      </c>
      <c r="J428" s="64"/>
      <c r="L428" s="72"/>
    </row>
    <row r="429" customHeight="1" spans="1:12">
      <c r="A429" s="67" t="s">
        <v>967</v>
      </c>
      <c r="B429" s="130" t="s">
        <v>25</v>
      </c>
      <c r="C429" s="151">
        <v>6</v>
      </c>
      <c r="D429" s="46" t="s">
        <v>26</v>
      </c>
      <c r="E429" s="152">
        <v>2</v>
      </c>
      <c r="F429" s="69">
        <f t="shared" si="12"/>
        <v>541</v>
      </c>
      <c r="G429" s="69">
        <f t="shared" si="13"/>
        <v>427</v>
      </c>
      <c r="H429" s="73" t="s">
        <v>27</v>
      </c>
      <c r="I429" s="137" t="s">
        <v>968</v>
      </c>
      <c r="J429" s="64"/>
      <c r="K429" s="111"/>
      <c r="L429" s="72"/>
    </row>
    <row r="430" customHeight="1" spans="1:12">
      <c r="A430" s="67" t="s">
        <v>969</v>
      </c>
      <c r="B430" s="130" t="s">
        <v>25</v>
      </c>
      <c r="C430" s="151">
        <v>6</v>
      </c>
      <c r="D430" s="46" t="s">
        <v>26</v>
      </c>
      <c r="E430" s="152">
        <v>2</v>
      </c>
      <c r="F430" s="69">
        <f t="shared" si="12"/>
        <v>547</v>
      </c>
      <c r="G430" s="69">
        <f t="shared" si="13"/>
        <v>428</v>
      </c>
      <c r="H430" s="73" t="s">
        <v>27</v>
      </c>
      <c r="I430" s="137" t="s">
        <v>970</v>
      </c>
      <c r="J430" s="64"/>
      <c r="K430" s="111"/>
      <c r="L430" s="72"/>
    </row>
    <row r="431" customHeight="1" spans="1:12">
      <c r="A431" s="67" t="s">
        <v>971</v>
      </c>
      <c r="B431" s="130" t="s">
        <v>25</v>
      </c>
      <c r="C431" s="151">
        <v>6</v>
      </c>
      <c r="D431" s="46" t="s">
        <v>26</v>
      </c>
      <c r="E431" s="152">
        <v>2</v>
      </c>
      <c r="F431" s="69">
        <f t="shared" si="12"/>
        <v>553</v>
      </c>
      <c r="G431" s="69">
        <f t="shared" si="13"/>
        <v>429</v>
      </c>
      <c r="H431" s="73" t="s">
        <v>27</v>
      </c>
      <c r="I431" s="137" t="s">
        <v>972</v>
      </c>
      <c r="J431" s="64"/>
      <c r="K431" s="111"/>
      <c r="L431" s="72"/>
    </row>
    <row r="432" customHeight="1" spans="1:12">
      <c r="A432" s="67" t="s">
        <v>973</v>
      </c>
      <c r="B432" s="130" t="s">
        <v>25</v>
      </c>
      <c r="C432" s="151">
        <v>6</v>
      </c>
      <c r="D432" s="46" t="s">
        <v>26</v>
      </c>
      <c r="E432" s="152">
        <v>2</v>
      </c>
      <c r="F432" s="69">
        <f t="shared" si="12"/>
        <v>559</v>
      </c>
      <c r="G432" s="69">
        <f t="shared" si="13"/>
        <v>430</v>
      </c>
      <c r="H432" s="73" t="s">
        <v>974</v>
      </c>
      <c r="I432" s="137" t="s">
        <v>975</v>
      </c>
      <c r="J432" s="64"/>
      <c r="K432" s="111"/>
      <c r="L432" s="72"/>
    </row>
    <row r="433" customHeight="1" spans="1:12">
      <c r="A433" s="7" t="s">
        <v>976</v>
      </c>
      <c r="B433" s="153" t="s">
        <v>977</v>
      </c>
      <c r="C433" s="46">
        <v>1</v>
      </c>
      <c r="D433" s="46" t="s">
        <v>13</v>
      </c>
      <c r="E433" s="152"/>
      <c r="F433" s="69">
        <f t="shared" si="12"/>
        <v>565</v>
      </c>
      <c r="G433" s="69">
        <f t="shared" si="13"/>
        <v>431</v>
      </c>
      <c r="H433" s="73" t="s">
        <v>14</v>
      </c>
      <c r="I433" s="31" t="s">
        <v>978</v>
      </c>
      <c r="J433" s="64"/>
      <c r="K433" s="137"/>
      <c r="L433" s="72"/>
    </row>
    <row r="434" customHeight="1" spans="1:12">
      <c r="A434" s="91" t="s">
        <v>979</v>
      </c>
      <c r="B434" s="154" t="s">
        <v>980</v>
      </c>
      <c r="C434" s="76">
        <v>1</v>
      </c>
      <c r="D434" s="76" t="s">
        <v>13</v>
      </c>
      <c r="E434" s="155"/>
      <c r="F434" s="78">
        <f t="shared" si="12"/>
        <v>566</v>
      </c>
      <c r="G434" s="78">
        <f t="shared" si="13"/>
        <v>432</v>
      </c>
      <c r="H434" s="79" t="s">
        <v>14</v>
      </c>
      <c r="I434" s="156" t="s">
        <v>981</v>
      </c>
      <c r="J434" s="81"/>
      <c r="K434" s="45"/>
      <c r="L434" s="83"/>
    </row>
    <row r="435" ht="23.25" customHeight="1" spans="1:12">
      <c r="A435" s="157" t="s">
        <v>982</v>
      </c>
      <c r="C435" s="158">
        <f>SUM(C3:C434)</f>
        <v>566</v>
      </c>
      <c r="J435" s="159"/>
      <c r="K435" s="47"/>
      <c r="L435" s="47"/>
    </row>
    <row r="436" customHeight="1" spans="1:12">
      <c r="J436" s="159"/>
      <c r="K436" s="47"/>
      <c r="L436" s="47"/>
    </row>
    <row r="437" s="47" customFormat="1" ht="21" customHeight="1" spans="1:12">
      <c r="A437" s="160" t="s">
        <v>983</v>
      </c>
      <c r="I437" s="161"/>
      <c r="J437" s="50"/>
      <c r="K437" s="17"/>
      <c r="L437" s="17"/>
    </row>
    <row r="438" s="47" customFormat="1" ht="12" customHeight="1" spans="1:12">
      <c r="A438" s="162"/>
      <c r="I438" s="161"/>
      <c r="J438" s="50"/>
      <c r="K438" s="17"/>
      <c r="L438" s="17"/>
    </row>
  </sheetData>
  <mergeCells count="24">
    <mergeCell ref="A1:I1"/>
    <mergeCell ref="L3:L7"/>
    <mergeCell ref="L8:L14"/>
    <mergeCell ref="L15:L24"/>
    <mergeCell ref="L25:L42"/>
    <mergeCell ref="L43:L148"/>
    <mergeCell ref="L149:L152"/>
    <mergeCell ref="L153:L154"/>
    <mergeCell ref="L155:L163"/>
    <mergeCell ref="L164:L181"/>
    <mergeCell ref="L182:L183"/>
    <mergeCell ref="L184:L229"/>
    <mergeCell ref="L230:L255"/>
    <mergeCell ref="L256:L303"/>
    <mergeCell ref="L304:L320"/>
    <mergeCell ref="L321:L326"/>
    <mergeCell ref="L327:L328"/>
    <mergeCell ref="L329:L340"/>
    <mergeCell ref="L341:L360"/>
    <mergeCell ref="L361:L369"/>
    <mergeCell ref="L370:L419"/>
    <mergeCell ref="L420:L422"/>
    <mergeCell ref="L423:L425"/>
    <mergeCell ref="L426:L434"/>
  </mergeCells>
  <hyperlinks>
    <hyperlink ref="H3" location="'Tablas1'!$A$5" display="Tablas1"/>
    <hyperlink ref="H6" location="'Tablas1'!$A$27" display="Tablas1"/>
    <hyperlink ref="H7" location="'Tablas4'!$A$5" display="Tablas4"/>
    <hyperlink ref="H8" location="Tablas1!A61" display="Tablas1"/>
    <hyperlink ref="H9" location="Tablas1!A38" display="Tablas1"/>
    <hyperlink ref="H10" location="Tablas1!A61" display="Tablas1"/>
    <hyperlink ref="H12" location="'Tablas1'!$A$27" display="Tablas1"/>
    <hyperlink ref="H13" location="'Tablas4'!$A$5" display="Tablas4"/>
    <hyperlink ref="H14" location="Tablas1!A44" display="Tablas1"/>
    <hyperlink ref="H15" location="Tablas1!A55" display="Tablas1"/>
    <hyperlink ref="H16" location="Tablas1!A55" display="Tablas1"/>
    <hyperlink ref="H17" location="Tablas1!A55" display="Tablas1"/>
    <hyperlink ref="H18" location="Tablas1!A61" display="Tablas1"/>
    <hyperlink ref="H19" location="Tablas1!A61" display="Tablas1"/>
    <hyperlink ref="H20" location="Tablas1!A61" display="Tablas1"/>
    <hyperlink ref="H21" location="Tablas4!A9" display="Tablas4"/>
    <hyperlink ref="H22" location="Tablas1!A66" display="Tablas1"/>
    <hyperlink ref="H23" location="Tablas1!A73" display="Tablas1"/>
    <hyperlink ref="H24" location="Tablas1!A82" display="Tablas1"/>
    <hyperlink ref="H25" location="Tablas1!A95" display="Tablas1"/>
    <hyperlink ref="H26" location="'Tablas1'!$A$32" display="Tablas1"/>
    <hyperlink ref="H27" location="'Tablas3'!$A$5" display="Tablas3"/>
    <hyperlink ref="H28" location="'Tablas2'!$A$5" display="Tablas2"/>
    <hyperlink ref="H29" location="Tablas1!A103" display="Tablas1"/>
    <hyperlink ref="H30" location="Tablas1!A113" display="Tablas1"/>
    <hyperlink ref="H31" location="'Tablas1'!$A$32" display="Tablas1"/>
    <hyperlink ref="H32" location="Tablas1!A122" display="Tablas1"/>
    <hyperlink ref="H33" location="Tablas1!A135" display="Tablas1"/>
    <hyperlink ref="H34" location="Tablas1!A144" display="Tablas1"/>
    <hyperlink ref="H35" location="Tablas1!A153" display="Tablas1"/>
    <hyperlink ref="H36" location="Tablas1!A162" display="Tablas1"/>
    <hyperlink ref="H37" location="Tablas1!A168" display="Tablas1"/>
    <hyperlink ref="H38" location="'Tablas3'!$A$5" display="Tablas3"/>
    <hyperlink ref="H39" location="'Tablas3'!$A$5" display="Tablas3"/>
    <hyperlink ref="H40" location="'Tablas2'!$A$5" display="Tablas2"/>
    <hyperlink ref="H41" location="'Tablas2'!$A$5" display="Tablas2"/>
    <hyperlink ref="H42" location="Tablas1!A180" display="Tablas1"/>
    <hyperlink ref="H43" location="Tablas1!A190" display="Tablas1"/>
    <hyperlink ref="H44" location="'Tablas1'!$A$32" display="Tablas1"/>
    <hyperlink ref="H45" location="Tablas1!A198" display="Tablas1"/>
    <hyperlink ref="H46" location="Tablas1!A206" display="Tablas1"/>
    <hyperlink ref="H47" location="Tablas1!A214" display="Tablas1"/>
    <hyperlink ref="H48" location="'Tablas1'!$A$32" display="Tablas1"/>
    <hyperlink ref="H49" location="'Tablas1'!$A$32" display="Tablas1"/>
    <hyperlink ref="H50" location="'Tablas1'!$A$32" display="Tablas1"/>
    <hyperlink ref="H51" location="'Tablas1'!$A$32" display="Tablas1"/>
    <hyperlink ref="H52" location="'Tablas1'!$A$32" display="Tablas1"/>
    <hyperlink ref="H53" location="'Tablas1'!$A$32" display="Tablas1"/>
    <hyperlink ref="H54" location="'Tablas1'!$A$32" display="Tablas1"/>
    <hyperlink ref="H55" location="'Tablas1'!$A$32" display="Tablas1"/>
    <hyperlink ref="H56" location="'Tablas1'!$A$32" display="Tablas1"/>
    <hyperlink ref="H57" location="'Tablas1'!$A$32" display="Tablas1"/>
    <hyperlink ref="H58" location="'Tablas1'!$A$32" display="Tablas1"/>
    <hyperlink ref="H59" location="'Tablas1'!$A$32" display="Tablas1"/>
    <hyperlink ref="H60" location="'Tablas1'!$A$32" display="Tablas1"/>
    <hyperlink ref="H61" location="'Tablas1'!$A$32" display="Tablas1"/>
    <hyperlink ref="H62" location="'Tablas1'!$A$32" display="Tablas1"/>
    <hyperlink ref="H63" location="'Tablas1'!$A$32" display="Tablas1"/>
    <hyperlink ref="H64" location="'Tablas1'!$A$32" display="Tablas1"/>
    <hyperlink ref="H65" location="'Tablas1'!$A$32" display="Tablas1"/>
    <hyperlink ref="H66" location="'Tablas1'!$A$32" display="Tablas1"/>
    <hyperlink ref="H67" location="'Tablas1'!$A$32" display="Tablas1"/>
    <hyperlink ref="H68" location="'Tablas1'!$A$32" display="Tablas1"/>
    <hyperlink ref="H69" location="'Tablas1'!$A$32" display="Tablas1"/>
    <hyperlink ref="H70" location="'Tablas1'!$A$32" display="Tablas1"/>
    <hyperlink ref="H71" location="'Tablas1'!$A$32" display="Tablas1"/>
    <hyperlink ref="H72" location="'Tablas1'!$A$32" display="Tablas1"/>
    <hyperlink ref="H73" location="'Tablas1'!$A$32" display="Tablas1"/>
    <hyperlink ref="H74" location="'Tablas1'!$A$32" display="Tablas1"/>
    <hyperlink ref="H75" location="'Tablas1'!$A$32" display="Tablas1"/>
    <hyperlink ref="H76" location="'Tablas1'!$A$32" display="Tablas1"/>
    <hyperlink ref="H77" location="'Tablas1'!$A$32" display="Tablas1"/>
    <hyperlink ref="H78" location="'Tablas1'!$A$32" display="Tablas1"/>
    <hyperlink ref="H79" location="'Tablas1'!$A$32" display="Tablas1"/>
    <hyperlink ref="H80" location="'Tablas1'!$A$32" display="Tablas1"/>
    <hyperlink ref="H81" location="'Tablas1'!$A$32" display="Tablas1"/>
    <hyperlink ref="H82" location="'Tablas1'!$A$32" display="Tablas1"/>
    <hyperlink ref="H83" location="'Tablas1'!$A$32" display="Tablas1"/>
    <hyperlink ref="H84" location="'Tablas1'!$A$32" display="Tablas1"/>
    <hyperlink ref="H85" location="'Tablas1'!$A$32" display="Tablas1"/>
    <hyperlink ref="H86" location="'Tablas1'!$A$32" display="Tablas1"/>
    <hyperlink ref="H87" location="'Tablas1'!$A$32" display="Tablas1"/>
    <hyperlink ref="H88" location="'Tablas1'!$A$32" display="Tablas1"/>
    <hyperlink ref="H89" location="'Tablas1'!$A$32" display="Tablas1"/>
    <hyperlink ref="H90" location="'Tablas1'!$A$32" display="Tablas1"/>
    <hyperlink ref="H91" location="'Tablas1'!$A$32" display="Tablas1"/>
    <hyperlink ref="H92" location="'Tablas1'!$A$32" display="Tablas1"/>
    <hyperlink ref="H93" location="'Tablas1'!$A$32" display="Tablas1"/>
    <hyperlink ref="H94" location="'Tablas1'!$A$32" display="Tablas1"/>
    <hyperlink ref="H95" location="'Tablas1'!$A$32" display="Tablas1"/>
    <hyperlink ref="H96" location="'Tablas1'!$A$32" display="Tablas1"/>
    <hyperlink ref="H97" location="'Tablas1'!$A$32" display="Tablas1"/>
    <hyperlink ref="H98" location="'Tablas1'!$A$32" display="Tablas1"/>
    <hyperlink ref="H99" location="'Tablas1'!$A$32" display="Tablas1"/>
    <hyperlink ref="H100" location="'Tablas1'!$A$32" display="Tablas1"/>
    <hyperlink ref="H101" location="'Tablas1'!$A$32" display="Tablas1"/>
    <hyperlink ref="H102" location="'Tablas1'!$A$32" display="Tablas1"/>
    <hyperlink ref="H103" location="'Tablas1'!$A$32" display="Tablas1"/>
    <hyperlink ref="H104" location="'Tablas1'!$A$32" display="Tablas1"/>
    <hyperlink ref="H105" location="'Tablas1'!$A$32" display="Tablas1"/>
    <hyperlink ref="H109" location="'Tablas1'!$A$32" display="Tablas1"/>
    <hyperlink ref="H110" location="'Tablas1'!$A$32" display="Tablas1"/>
    <hyperlink ref="H111" location="'Tablas1'!$A$32" display="Tablas1"/>
    <hyperlink ref="H112" location="'Tablas1'!$A$32" display="Tablas1"/>
    <hyperlink ref="H113" location="'Tablas1'!$A$32" display="Tablas1"/>
    <hyperlink ref="H114" location="'Tablas1'!$A$32" display="Tablas1"/>
    <hyperlink ref="H115" location="'Tablas1'!$A$32" display="Tablas1"/>
    <hyperlink ref="H116" location="'Tablas1'!$A$32" display="Tablas1"/>
    <hyperlink ref="H117" location="'Tablas1'!$A$32" display="Tablas1"/>
    <hyperlink ref="H118" location="'Tablas1'!$A$32" display="Tablas1"/>
    <hyperlink ref="H119" location="'Tablas1'!$A$32" display="Tablas1"/>
    <hyperlink ref="H120" location="'Tablas1'!$A$32" display="Tablas1"/>
    <hyperlink ref="H121" location="'Tablas1'!$A$32" display="Tablas1"/>
    <hyperlink ref="H122" location="'Tablas1'!$A$32" display="Tablas1"/>
    <hyperlink ref="H123" location="'Tablas1'!$A$32" display="Tablas1"/>
    <hyperlink ref="H124" location="'Tablas1'!$A$32" display="Tablas1"/>
    <hyperlink ref="H125" location="'Tablas1'!$A$32" display="Tablas1"/>
    <hyperlink ref="H126" location="'Tablas1'!$A$32" display="Tablas1"/>
    <hyperlink ref="H127" location="'Tablas1'!$A$32" display="Tablas1"/>
    <hyperlink ref="H128" location="'Tablas1'!$A$32" display="Tablas1"/>
    <hyperlink ref="H129" location="'Tablas1'!$A$32" display="Tablas1"/>
    <hyperlink ref="H130" location="'Tablas1'!$A$32" display="Tablas1"/>
    <hyperlink ref="H131" location="'Tablas1'!$A$32" display="Tablas1"/>
    <hyperlink ref="H132" location="'Tablas1'!$A$32" display="Tablas1"/>
    <hyperlink ref="H133" location="'Tablas1'!$A$32" display="Tablas1"/>
    <hyperlink ref="H134" location="'Tablas1'!$A$32" display="Tablas1"/>
    <hyperlink ref="H135" location="'Tablas1'!$A$32" display="Tablas1"/>
    <hyperlink ref="H136" location="'Tablas1'!$A$32" display="Tablas1"/>
    <hyperlink ref="H137" location="'Tablas1'!$A$32" display="Tablas1"/>
    <hyperlink ref="H138" location="'Tablas1'!$A$32" display="Tablas1"/>
    <hyperlink ref="H139" location="'Tablas1'!$A$32" display="Tablas1"/>
    <hyperlink ref="H140" location="'Tablas1'!$A$32" display="Tablas1"/>
    <hyperlink ref="H141" location="'Tablas1'!$A$32" display="Tablas1"/>
    <hyperlink ref="H142" location="'Tablas1'!$A$32" display="Tablas1"/>
    <hyperlink ref="H143" location="'Tablas1'!$A$32" display="Tablas1"/>
    <hyperlink ref="H144" location="'Tablas1'!$A$32" display="Tablas1"/>
    <hyperlink ref="H145" location="'Tablas1'!$A$32" display="Tablas1"/>
    <hyperlink ref="H146" location="'Tablas1'!$A$32" display="Tablas1"/>
    <hyperlink ref="H147" location="'Tablas1'!$A$32" display="Tablas1"/>
    <hyperlink ref="H148" location="'Tablas1'!$A$32" display="Tablas1"/>
    <hyperlink ref="H149" location="'Tablas1'!$A$32" display="Tablas1"/>
    <hyperlink ref="H150" location="'Tablas1'!$A$32" display="Tablas1"/>
    <hyperlink ref="H151" location="'Tablas1'!$A$32" display="Tablas1"/>
    <hyperlink ref="H152" location="Tablas1!A224" display="Tablas1"/>
    <hyperlink ref="H153" location="'Tablas1'!$A$32" display="Tablas1"/>
    <hyperlink ref="H154" location="'Tablas4'!$A$5" display="Tablas4"/>
    <hyperlink ref="H155" location="Tablas1!A229" display="Tablas1"/>
    <hyperlink ref="H156" location="Tablas1!A236" display="Tablas1"/>
    <hyperlink ref="H157" location="Tablas1!A245" display="Tablas1"/>
    <hyperlink ref="H158" location="Tablas1!A251" display="Tablas1"/>
    <hyperlink ref="H159" location="Tablas1!A251" display="Tablas1"/>
    <hyperlink ref="H160" location="Tablas1!A251" display="Tablas1"/>
    <hyperlink ref="H161" location="Tablas1!A251" display="Tablas1"/>
    <hyperlink ref="H162" location="Tablas1!A251" display="Tablas1"/>
    <hyperlink ref="H163" location="Tablas1!A251" display="Tablas1"/>
    <hyperlink ref="H164" location="Tablas1!A261" display="Tablas1"/>
    <hyperlink ref="H165" location="Tablas1!A261" display="Tablas1"/>
    <hyperlink ref="H166" location="Tablas1!A261" display="Tablas1"/>
    <hyperlink ref="H167" location="Tablas1!A261" display="Tablas1"/>
    <hyperlink ref="H168" location="Tablas1!A261" display="Tablas1"/>
    <hyperlink ref="H169" location="Tablas1!A269" display="Tablas1"/>
    <hyperlink ref="H170" location="Tablas1!A269" display="Tablas1"/>
    <hyperlink ref="H171" location="Tablas1!A251" display="Tablas1"/>
    <hyperlink ref="H172" location="Tablas1!A251" display="Tablas1"/>
    <hyperlink ref="H173" location="Tablas1!A251" display="Tablas1"/>
    <hyperlink ref="H174" location="Tablas1!A251" display="Tablas1"/>
    <hyperlink ref="H175" location="Tablas1!A251" display="Tablas1"/>
    <hyperlink ref="H176" location="Tablas1!A251" display="Tablas1"/>
    <hyperlink ref="H177" location="Tablas1!A251" display="Tablas1"/>
    <hyperlink ref="H178" location="Tablas1!A269" display="Tablas1"/>
    <hyperlink ref="H179" location="Tablas1!A269" display="Tablas1"/>
    <hyperlink ref="H180" location="Tablas1!A275" display="Tablas1"/>
    <hyperlink ref="H181" location="Tablas1!A285" display="Tablas1"/>
    <hyperlink ref="H184" location="Tablas1!A316" display="Tablas1"/>
    <hyperlink ref="H185" location="Tablas4!A9" display="Tablas4"/>
    <hyperlink ref="H186" location="Tablas1!A323" display="Tablas1"/>
    <hyperlink ref="H187" location="Tablas4!A9" display="Tablas4"/>
    <hyperlink ref="H188" location="Tablas1!A331" display="Tablas1"/>
    <hyperlink ref="H189" location="Tablas1!A337" display="Tablas1"/>
    <hyperlink ref="H190" location="Tablas1!A352" display="Tablas1"/>
    <hyperlink ref="H191" location="Tablas1!A362" display="Tablas1"/>
    <hyperlink ref="H192" location="'Tablas1'!$A$32" display="Tablas1"/>
    <hyperlink ref="H193" location="'Tablas1'!$A$32" display="Tablas1"/>
    <hyperlink ref="H194" location="'Tablas1'!$A$32" display="Tablas1"/>
    <hyperlink ref="H195" location="'Tablas1'!$A$32" display="Tablas1"/>
    <hyperlink ref="H196" location="'Tablas1'!$A$32" display="Tablas1"/>
    <hyperlink ref="H197" location="'Tablas1'!$A$32" display="Tablas1"/>
    <hyperlink ref="H198" location="'Tablas1'!$A$32" display="Tablas1"/>
    <hyperlink ref="H199" location="'Tablas1'!$A$32" display="Tablas1"/>
    <hyperlink ref="H200" location="'Tablas1'!$A$32" display="Tablas1"/>
    <hyperlink ref="H201" location="'Tablas1'!$A$32" display="Tablas1"/>
    <hyperlink ref="H202" location="'Tablas1'!$A$32" display="Tablas1"/>
    <hyperlink ref="H203" location="'Tablas1'!$A$32" display="Tablas1"/>
    <hyperlink ref="H204" location="'Tablas1'!$A$32" display="Tablas1"/>
    <hyperlink ref="H205" location="'Tablas1'!$A$32" display="Tablas1"/>
    <hyperlink ref="H206" location="'Tablas1'!$A$32" display="Tablas1"/>
    <hyperlink ref="H207" location="'Tablas1'!$A$32" display="Tablas1"/>
    <hyperlink ref="H208" location="'Tablas1'!$A$32" display="Tablas1"/>
    <hyperlink ref="H209" location="Tablas1!A370" display="Tablas1"/>
    <hyperlink ref="H210" location="Tablas4!A9" display="Tablas4"/>
    <hyperlink ref="H211" location="'Tablas1'!$A$32" display="Tablas1"/>
    <hyperlink ref="H212" location="'Tablas1'!$A$32" display="Tablas1"/>
    <hyperlink ref="H213" location="'Tablas1'!$A$32" display="Tablas1"/>
    <hyperlink ref="H214" location="'Tablas1'!$A$32" display="Tablas1"/>
    <hyperlink ref="H215" location="'Tablas1'!$A$32" display="Tablas1"/>
    <hyperlink ref="H216" location="'Tablas1'!$A$32" display="Tablas1"/>
    <hyperlink ref="H217" location="'Tablas1'!$A$32" display="Tablas1"/>
    <hyperlink ref="H218" location="'Tablas1'!$A$32" display="Tablas1"/>
    <hyperlink ref="H219" location="'Tablas1'!$A$32" display="Tablas1"/>
    <hyperlink ref="H220" location="'Tablas1'!$A$32" display="Tablas1"/>
    <hyperlink ref="H221" location="Tablas1!A378" display="Tablas1"/>
    <hyperlink ref="H222" location="'Tablas1'!$A$32" display="Tablas1"/>
    <hyperlink ref="H223" location="'Tablas1'!$A$32" display="Tablas1"/>
    <hyperlink ref="H224" location="'Tablas1'!$A$32" display="Tablas1"/>
    <hyperlink ref="H225" location="'Tablas1'!$A$32" display="Tablas1"/>
    <hyperlink ref="H226" location="'Tablas1'!$A$32" display="Tablas1"/>
    <hyperlink ref="H227" location="'Tablas1'!$A$32" display="Tablas1"/>
    <hyperlink ref="H228" location="'Tablas1'!$A$32" display="Tablas1"/>
    <hyperlink ref="H229" location="'Tablas1'!$A$32" display="Tablas1"/>
    <hyperlink ref="H230" location="Tablas1!A61" display="Tablas1"/>
    <hyperlink ref="H231" location="Tablas4!A9" display="Tablas4"/>
    <hyperlink ref="H232" location="'Tablas4'!$A$5" display="Tablas4"/>
    <hyperlink ref="H233" location="'Tablas1'!$A$32" display="Tablas1"/>
    <hyperlink ref="H234" location="Tablas1!A386" display="Tablas1"/>
    <hyperlink ref="H235" location="Tablas1!A395" display="Tablas1"/>
    <hyperlink ref="H236" location="'Tablas1'!$A$32" display="Tablas1"/>
    <hyperlink ref="H237" location="'Tablas4'!$A$5" display="Tablas4"/>
    <hyperlink ref="H238" location="'Tablas1'!$A$63" display="Tablas1"/>
    <hyperlink ref="H239" location="'Tablas4'!$A$5" display="Tablas4"/>
    <hyperlink ref="H240" location="'Tablas1'!$A$32" display="Tablas1"/>
    <hyperlink ref="H241" location="'Tablas1'!$A$32" display="Tablas1"/>
    <hyperlink ref="H242" location="'Tablas1'!$A$32" display="Tablas1"/>
    <hyperlink ref="H243" location="'Tablas4'!$A$10" display="Tablas4"/>
    <hyperlink ref="H244" location="'Tablas4'!$A$10" display="Tablas4"/>
    <hyperlink ref="H245" location="'Tablas4'!$A$10" display="Tablas4"/>
    <hyperlink ref="H246" location="'Tablas4'!$A$10" display="Tablas4"/>
    <hyperlink ref="H247" location="'Tablas4'!$A$10" display="Tablas4"/>
    <hyperlink ref="H248" location="Tablas1!A404" display="Tablas1"/>
    <hyperlink ref="H249" location="Tablas1!A32" display="Tablas1"/>
    <hyperlink ref="H250" location="Tablas1!A32" display="Tablas1"/>
    <hyperlink ref="H251" location="Tablas1!A32" display="Tablas1"/>
    <hyperlink ref="H252" location="Tablas1!A32" display="Tablas1"/>
    <hyperlink ref="H253" location="Tablas1!A32" display="Tablas1"/>
    <hyperlink ref="H254" location="Tablas1!A32" display="Tablas1"/>
    <hyperlink ref="H255" location="Tablas1!A32" display="Tablas1"/>
    <hyperlink ref="H256" location="Tablas1!A61" display="Tablas1"/>
    <hyperlink ref="H257" location="'Tablas1'!$A$32" display="Tablas1"/>
    <hyperlink ref="H258" location="'Tablas1'!$A$32" display="Tablas1"/>
    <hyperlink ref="H259" location="'Tablas1'!$A$32" display="Tablas1"/>
    <hyperlink ref="H260" location="'Tablas1'!$A$32" display="Tablas1"/>
    <hyperlink ref="H261" location="'Tablas1'!$A$32" display="Tablas1"/>
    <hyperlink ref="H262" location="'Tablas1'!$A$32" display="Tablas1"/>
    <hyperlink ref="H263" location="'Tablas1'!$A$32" display="Tablas1"/>
    <hyperlink ref="H264" location="'Tablas1'!$A$32" display="Tablas1"/>
    <hyperlink ref="H265" location="'Tablas1'!$A$32" display="Tablas1"/>
    <hyperlink ref="H266" location="'Tablas1'!$A$32" display="Tablas1"/>
    <hyperlink ref="H267" location="'Tablas1'!$A$32" display="Tablas1"/>
    <hyperlink ref="H268" location="'Tablas1'!$A$32" display="Tablas1"/>
    <hyperlink ref="H269" location="'Tablas1'!$A$32" display="Tablas1"/>
    <hyperlink ref="H270" location="'Tablas1'!$A$32" display="Tablas1"/>
    <hyperlink ref="H271" location="'Tablas1'!$A$32" display="Tablas1"/>
    <hyperlink ref="H272" location="'Tablas1'!$A$32" display="Tablas1"/>
    <hyperlink ref="H273" location="'Tablas1'!$A$32" display="Tablas1"/>
    <hyperlink ref="H274" location="'Tablas1'!$A$32" display="Tablas1"/>
    <hyperlink ref="H275" location="'Tablas1'!$A$32" display="Tablas1"/>
    <hyperlink ref="H276" location="'Tablas1'!$A$32" display="Tablas1"/>
    <hyperlink ref="H277" location="'Tablas1'!$A$32" display="Tablas1"/>
    <hyperlink ref="H278" location="'Tablas1'!$A$32" display="Tablas1"/>
    <hyperlink ref="H279" location="'Tablas1'!$A$32" display="Tablas1"/>
    <hyperlink ref="H280" location="'Tablas1'!$A$32" display="Tablas1"/>
    <hyperlink ref="H281" location="'Tablas1'!$A$32" display="Tablas1"/>
    <hyperlink ref="H282" location="'Tablas1'!$A$32" display="Tablas1"/>
    <hyperlink ref="H283" location="'Tablas1'!$A$32" display="Tablas1"/>
    <hyperlink ref="H284" location="'Tablas1'!$A$32" display="Tablas1"/>
    <hyperlink ref="H285" location="'Tablas1'!$A$32" display="Tablas1"/>
    <hyperlink ref="H286" location="'Tablas1'!$A$32" display="Tablas1"/>
    <hyperlink ref="H287" location="'Tablas1'!$A$32" display="Tablas1"/>
    <hyperlink ref="H288" location="'Tablas1'!$A$32" display="Tablas1"/>
    <hyperlink ref="H289" location="'Tablas1'!$A$32" display="Tablas1"/>
    <hyperlink ref="H290" location="'Tablas1'!$A$32" display="Tablas1"/>
    <hyperlink ref="H291" location="'Tablas1'!$A$32" display="Tablas1"/>
    <hyperlink ref="H292" location="'Tablas1'!$A$32" display="Tablas1"/>
    <hyperlink ref="H293" location="'Tablas1'!$A$32" display="Tablas1"/>
    <hyperlink ref="H294" location="'Tablas1'!$A$32" display="Tablas1"/>
    <hyperlink ref="H295" location="'Tablas1'!$A$32" display="Tablas1"/>
    <hyperlink ref="H296" location="'Tablas1'!$A$32" display="Tablas1"/>
    <hyperlink ref="H297" location="'Tablas1'!$A$32" display="Tablas1"/>
    <hyperlink ref="H298" location="'Tablas1'!$A$32" display="Tablas1"/>
    <hyperlink ref="H299" location="'Tablas1'!$A$32" display="Tablas1"/>
    <hyperlink ref="H300" location="'Tablas1'!$A$32" display="Tablas1"/>
    <hyperlink ref="H301" location="'Tablas1'!$A$32" display="Tablas1"/>
    <hyperlink ref="H302" location="'Tablas1'!$A$32" display="Tablas1"/>
    <hyperlink ref="H303" location="'Tablas1'!$A$32" display="Tablas1"/>
    <hyperlink ref="H304" location="Tablas1!A61" display="Tablas1"/>
    <hyperlink ref="H305" location="'Tablas1'!$A$32" display="Tablas1"/>
    <hyperlink ref="H306" location="Tablas1!A414" display="Tablas1"/>
    <hyperlink ref="H307" location="'Tablas1'!$A$32" display="Tablas1"/>
    <hyperlink ref="H308" location="Tablas1!A423" display="Tablas1"/>
    <hyperlink ref="H309" location="'Tablas1'!$A$32" display="Tablas1"/>
    <hyperlink ref="H310" location="Tablas1!A423" display="Tablas1"/>
    <hyperlink ref="H311" location="'Tablas1'!$A$32" display="Tablas1"/>
    <hyperlink ref="H312" location="Tablas1!A414" display="Tablas1"/>
    <hyperlink ref="H313" location="'Tablas1'!$A$32" display="Tablas1"/>
    <hyperlink ref="H314" location="Tablas1!A431" display="Tablas1"/>
    <hyperlink ref="H315" location="'Tablas1'!$A$32" display="Tablas1"/>
    <hyperlink ref="H316" location="Tablas1!A439" display="Tablas1"/>
    <hyperlink ref="H317" location="'Tablas1'!$A$32" display="Tablas1"/>
    <hyperlink ref="H318" location="Tablas1!A414" display="Tablas1"/>
    <hyperlink ref="H321" location="Tablas1!A448" display="Tablas1"/>
    <hyperlink ref="H322" location="Tablas1!A448" display="Tablas1"/>
    <hyperlink ref="H323" location="Tablas1!A455" display="Tablas1"/>
    <hyperlink ref="H324" location="Tablas1!A455" display="Tablas1"/>
    <hyperlink ref="H325" location="Tablas1!A455" display="Tablas1"/>
    <hyperlink ref="H326" location="Tablas1!A455" display="Tablas1"/>
    <hyperlink ref="H327" location="'Tablas4'!$A$5" display="Tablas4"/>
    <hyperlink ref="H328" location="'Tablas4'!$A$5" display="Tablas4"/>
    <hyperlink ref="H329" location="Tablas1!A462" display="Tablas1"/>
    <hyperlink ref="H330" location="Tablas1!A471" display="Tablas1"/>
    <hyperlink ref="H331" location="Tablas4!A13" display="Tablas4"/>
    <hyperlink ref="H332" location="Tablas1!A479" display="Tablas1"/>
    <hyperlink ref="H333" location="Tablas4!A13" display="Tablas4"/>
    <hyperlink ref="H334" location="Tablas1!A479" display="Tablas1"/>
    <hyperlink ref="H335" location="Tablas4!A13" display="Tablas4"/>
    <hyperlink ref="H336" location="Tablas4!A9" display="Tablas4"/>
    <hyperlink ref="H337" location="Tablas4!A9" display="Tablas4"/>
    <hyperlink ref="H338" location="Tablas4!A13" display="Tablas4"/>
    <hyperlink ref="H339" location="Tablas4!A9" display="Tablas4"/>
    <hyperlink ref="H340" location="Tablas4!A9" display="Tablas4"/>
    <hyperlink ref="H341" location="Tablas1!A488" display="Tablas1"/>
    <hyperlink ref="H342" location="Tablas4!A9" display="Tablas4"/>
    <hyperlink ref="H343" location="Tablas1!A488" display="Tablas1"/>
    <hyperlink ref="H344" location="Tablas1!A488" display="Tablas1"/>
    <hyperlink ref="H345" location="Tablas1!A448" display="Tablas1"/>
    <hyperlink ref="H346" location="Tablas1!A448" display="Tablas1"/>
    <hyperlink ref="H347" location="Tablas1!A488" display="Tablas1"/>
    <hyperlink ref="H348" location="Tablas1!A488" display="Tablas1"/>
    <hyperlink ref="H349" location="Tablas4!A9" display="Tablas4"/>
    <hyperlink ref="H350" location="Tablas1!A488" display="Tablas1"/>
    <hyperlink ref="H351" location="Tablas1!A488" display="Tablas1"/>
    <hyperlink ref="H352" location="Tablas1!A488" display="Tablas1"/>
    <hyperlink ref="H353" location="Tablas1!A488" display="Tablas1"/>
    <hyperlink ref="H354" location="Tablas1!A488" display="Tablas1"/>
    <hyperlink ref="H355" location="Tablas1!A488" display="Tablas1"/>
    <hyperlink ref="H356" location="Tablas1!A488" display="Tablas1"/>
    <hyperlink ref="H357" location="Tablas1!A488" display="Tablas1"/>
    <hyperlink ref="H358" location="Tablas4!A9" display="Tablas4"/>
    <hyperlink ref="H359" location="'Tablas1'!$A$32" display="Tablas1"/>
    <hyperlink ref="H360" location="Tablas4!A9" display="Tablas4"/>
    <hyperlink ref="H361" location="Tablas1!A498" display="Tablas1"/>
    <hyperlink ref="H362" location="Tablas4!A9" display="Tablas4"/>
    <hyperlink ref="H363" location="Tablas4!A9" display="Tablas4"/>
    <hyperlink ref="H364" location="'Tablas1'!$A$32" display="Tablas1"/>
    <hyperlink ref="H365" location="Tablas4!A9" display="Tablas4"/>
    <hyperlink ref="H366" location="Tablas1!A506" display="Tablas1"/>
    <hyperlink ref="H367" location="Tablas1!A514" display="Tablas1"/>
    <hyperlink ref="H368" location="Tablas1!A521" display="Tablas1"/>
    <hyperlink ref="H369" location="Tablas1!A528" display="Tablas1"/>
    <hyperlink ref="H370" location="Tablas1!A534" display="Tablas1"/>
    <hyperlink ref="H371" location="'Tablas1'!$A$32" display="Tablas1"/>
    <hyperlink ref="H372" location="Tablas4!A9" display="Tablas4"/>
    <hyperlink ref="H373" location="Tablas4!A9" display="Tablas4"/>
    <hyperlink ref="H374" location="Tablas4!A9" display="Tablas4"/>
    <hyperlink ref="H375" location="Tablas4!A9" display="Tablas4"/>
    <hyperlink ref="H376" location="Tablas4!A9" display="Tablas4"/>
    <hyperlink ref="H377" location="Tablas4!A9" display="Tablas4"/>
    <hyperlink ref="H378" location="Tablas4!A9" display="Tablas4"/>
    <hyperlink ref="H379" location="'Tablas1'!$A$32" display="Tablas1"/>
    <hyperlink ref="H380" location="Tablas4!A9" display="Tablas4"/>
    <hyperlink ref="H381" location="Tablas4!A9" display="Tablas4"/>
    <hyperlink ref="H382" location="Tablas4!A9" display="Tablas4"/>
    <hyperlink ref="H383" location="Tablas4!A9" display="Tablas4"/>
    <hyperlink ref="H384" location="Tablas4!A9" display="Tablas4"/>
    <hyperlink ref="H385" location="Tablas4!A9" display="Tablas4"/>
    <hyperlink ref="H386" location="Tablas4!A9" display="Tablas4"/>
    <hyperlink ref="H387" location="'Tablas1'!$A$32" display="Tablas1"/>
    <hyperlink ref="H388" location="Tablas4!A9" display="Tablas4"/>
    <hyperlink ref="H389" location="Tablas4!A9" display="Tablas4"/>
    <hyperlink ref="H390" location="'Tablas4'!$A$10" display="Tablas4"/>
    <hyperlink ref="H391" location="'Tablas4'!$A$10" display="Tablas4"/>
    <hyperlink ref="H392" location="'Tablas4'!$A$10" display="Tablas4"/>
    <hyperlink ref="H393" location="'Tablas4'!$A$10" display="Tablas4"/>
    <hyperlink ref="H394" location="'Tablas4'!$A$10" display="Tablas4"/>
    <hyperlink ref="H395" location="'Tablas1'!$A$32" display="Tablas1"/>
    <hyperlink ref="H396" location="'Tablas4'!$A$10" display="Tablas4"/>
    <hyperlink ref="H397" location="'Tablas4'!$A$10" display="Tablas4"/>
    <hyperlink ref="H398" location="'Tablas4'!$A$10" display="Tablas4"/>
    <hyperlink ref="H399" location="'Tablas4'!$A$10" display="Tablas4"/>
    <hyperlink ref="H400" location="'Tablas4'!$A$10" display="Tablas4"/>
    <hyperlink ref="H401" location="'Tablas4'!$A$10" display="Tablas4"/>
    <hyperlink ref="H402" location="'Tablas4'!$A$10" display="Tablas4"/>
    <hyperlink ref="H403" location="'Tablas1'!$A$32" display="Tablas1"/>
    <hyperlink ref="H404" location="'Tablas4'!$A$10" display="Tablas4"/>
    <hyperlink ref="H405" location="'Tablas4'!$A$10" display="Tablas4"/>
    <hyperlink ref="H406" location="'Tablas4'!$A$10" display="Tablas4"/>
    <hyperlink ref="H407" location="'Tablas4'!$A$10" display="Tablas4"/>
    <hyperlink ref="H408" location="'Tablas4'!$A$10" display="Tablas4"/>
    <hyperlink ref="H409" location="'Tablas4'!$A$10" display="Tablas4"/>
    <hyperlink ref="H410" location="'Tablas4'!$A$10" display="Tablas4"/>
    <hyperlink ref="H411" location="'Tablas1'!$A$32" display="Tablas1"/>
    <hyperlink ref="H412" location="'Tablas4'!$A$10" display="Tablas4"/>
    <hyperlink ref="H413" location="'Tablas4'!$A$10" display="Tablas4"/>
    <hyperlink ref="H414" location="'Tablas4'!$A$10" display="Tablas4"/>
    <hyperlink ref="H415" location="'Tablas4'!$A$10" display="Tablas4"/>
    <hyperlink ref="H416" location="'Tablas4'!$A$10" display="Tablas4"/>
    <hyperlink ref="H417" location="'Tablas4'!$A$10" display="Tablas4"/>
    <hyperlink ref="H418" location="'Tablas4'!$A$10" display="Tablas4"/>
    <hyperlink ref="H419" location="Tablas1!A547" display="Tablas1"/>
    <hyperlink ref="H420" location="Tablas1!A560" display="Tablas1"/>
    <hyperlink ref="H421" location="Tablas1!A568" display="Tablas1"/>
    <hyperlink ref="H422" location="Tablas1!A577" display="Tablas1"/>
    <hyperlink ref="H423" location="'Tablas1'!$A$32" display="Tablas1"/>
    <hyperlink ref="H424" location="Tablas1!A586" display="Tablas1"/>
    <hyperlink ref="H425" location="Tablas1!A592" display="Tablas1"/>
    <hyperlink ref="H427" location="Tablas1!A599" display="Tablas1"/>
    <hyperlink ref="H428" location="Tablas1!A609" display="Tablas1"/>
    <hyperlink ref="H429" location="Tablas4!A17" display="Tablas4"/>
    <hyperlink ref="H430" location="Tablas4!A17" display="Tablas4"/>
    <hyperlink ref="H431" location="Tablas4!A17" display="Tablas4"/>
    <hyperlink ref="H433" location="Tablas1!A617" display="Tablas1"/>
    <hyperlink ref="H434" location="Tablas1!A626" display="Tablas1"/>
    <hyperlink ref="K28" r:id="rId1" display="CNO-11"/>
    <hyperlink ref="K27" r:id="rId2" display="CNAE-09"/>
    <hyperlink ref="K38" r:id="rId2" display="CNAE-09"/>
    <hyperlink ref="K39" r:id="rId2" display="CNAE-09"/>
    <hyperlink ref="K40:K41" r:id="rId1" display="CNO-11"/>
    <hyperlink ref="H106" location="'Tablas1'!$A$32" display="Tablas1"/>
    <hyperlink ref="H107" location="'Tablas1'!$A$32" display="Tablas1"/>
    <hyperlink ref="H108" location="'Tablas1'!$A$32" display="Tablas1"/>
    <hyperlink ref="H182" location="Tablas1!A294" display="Tablas1"/>
    <hyperlink ref="H183" location="Tablas1!A305" display="Tablas1"/>
    <hyperlink ref="H320" location="Tablas1!A414" display="Tablas1"/>
    <hyperlink ref="H319" location="Tablas1!A32" display="Tablas1"/>
    <hyperlink ref="H432" location="Tablas4!A5" display="Tablas 4"/>
  </hyperlinks>
  <pageMargins left="0.75" right="0.75" top="1" bottom="1" header="0" footer="0"/>
  <pageSetup paperSize="9" scale="52" fitToHeight="0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609"/>
  <sheetViews>
    <sheetView topLeftCell="A561" workbookViewId="0">
      <selection activeCell="C577" sqref="C577"/>
    </sheetView>
  </sheetViews>
  <sheetFormatPr defaultColWidth="11.4285714285714" defaultRowHeight="12.75" outlineLevelCol="4"/>
  <cols>
    <col min="1" max="1" width="22.8571428571429" style="3" customWidth="1"/>
    <col min="2" max="2" width="30.7142857142857" style="7" customWidth="1"/>
    <col min="3" max="3" width="25.7142857142857" style="7" customWidth="1"/>
    <col min="4" max="4" width="11.4285714285714" style="7"/>
    <col min="5" max="5" width="12.7142857142857" style="7" customWidth="1"/>
    <col min="6" max="16384" width="11.4285714285714" style="7"/>
  </cols>
  <sheetData>
    <row r="1" ht="13.15" customHeight="1" spans="1:5">
      <c r="B1" s="3"/>
    </row>
    <row r="2" spans="1:5">
      <c r="A2" s="22"/>
      <c r="B2" s="23"/>
    </row>
    <row r="4" spans="1:5">
      <c r="C4" s="4" t="s">
        <v>984</v>
      </c>
      <c r="E4" s="5" t="s">
        <v>985</v>
      </c>
    </row>
    <row r="5" spans="1:5">
      <c r="A5" s="6" t="s">
        <v>12</v>
      </c>
      <c r="C5" s="8" t="s">
        <v>11</v>
      </c>
    </row>
    <row r="6" spans="1:5">
      <c r="A6" s="3" t="s">
        <v>986</v>
      </c>
      <c r="B6" s="7" t="s">
        <v>9</v>
      </c>
    </row>
    <row r="7" spans="1:5">
      <c r="A7" s="24" t="s">
        <v>987</v>
      </c>
      <c r="B7" s="7" t="s">
        <v>988</v>
      </c>
    </row>
    <row r="8" spans="1:5">
      <c r="A8" s="24" t="s">
        <v>989</v>
      </c>
      <c r="B8" s="7" t="s">
        <v>990</v>
      </c>
    </row>
    <row r="9" spans="1:5">
      <c r="A9" s="24" t="s">
        <v>991</v>
      </c>
      <c r="B9" s="7" t="s">
        <v>992</v>
      </c>
    </row>
    <row r="10" spans="1:5">
      <c r="A10" s="24" t="s">
        <v>993</v>
      </c>
      <c r="B10" s="7" t="s">
        <v>994</v>
      </c>
    </row>
    <row r="11" spans="1:5">
      <c r="A11" s="24" t="s">
        <v>995</v>
      </c>
      <c r="B11" s="7" t="s">
        <v>996</v>
      </c>
    </row>
    <row r="12" spans="1:5">
      <c r="A12" s="24" t="s">
        <v>997</v>
      </c>
      <c r="B12" s="7" t="s">
        <v>998</v>
      </c>
    </row>
    <row r="13" spans="1:5">
      <c r="A13" s="24" t="s">
        <v>999</v>
      </c>
      <c r="B13" s="7" t="s">
        <v>1000</v>
      </c>
    </row>
    <row r="14" spans="1:5">
      <c r="A14" s="24" t="s">
        <v>1001</v>
      </c>
      <c r="B14" s="7" t="s">
        <v>1002</v>
      </c>
    </row>
    <row r="15" spans="1:5">
      <c r="A15" s="24" t="s">
        <v>1003</v>
      </c>
      <c r="B15" s="7" t="s">
        <v>1004</v>
      </c>
    </row>
    <row r="16" spans="1:5">
      <c r="A16" s="24" t="s">
        <v>1005</v>
      </c>
      <c r="B16" s="7" t="s">
        <v>1006</v>
      </c>
    </row>
    <row r="17" spans="1:3">
      <c r="A17" s="24" t="s">
        <v>1007</v>
      </c>
      <c r="B17" s="7" t="s">
        <v>1008</v>
      </c>
    </row>
    <row r="18" spans="1:3">
      <c r="A18" s="24" t="s">
        <v>1009</v>
      </c>
      <c r="B18" s="7" t="s">
        <v>1010</v>
      </c>
    </row>
    <row r="19" spans="1:3">
      <c r="A19" s="24" t="s">
        <v>1011</v>
      </c>
      <c r="B19" s="7" t="s">
        <v>1012</v>
      </c>
    </row>
    <row r="20" spans="1:3">
      <c r="A20" s="24" t="s">
        <v>1013</v>
      </c>
      <c r="B20" s="7" t="s">
        <v>1014</v>
      </c>
    </row>
    <row r="21" spans="1:3">
      <c r="A21" s="24" t="s">
        <v>1015</v>
      </c>
      <c r="B21" s="7" t="s">
        <v>1016</v>
      </c>
    </row>
    <row r="22" spans="1:3">
      <c r="A22" s="24" t="s">
        <v>1017</v>
      </c>
      <c r="B22" s="7" t="s">
        <v>1018</v>
      </c>
    </row>
    <row r="23" spans="1:3">
      <c r="A23" s="24" t="s">
        <v>1019</v>
      </c>
      <c r="B23" s="7" t="s">
        <v>1020</v>
      </c>
    </row>
    <row r="24" spans="1:3">
      <c r="A24" s="24" t="s">
        <v>1021</v>
      </c>
      <c r="B24" s="7" t="s">
        <v>1022</v>
      </c>
    </row>
    <row r="25" spans="1:3">
      <c r="A25" s="24" t="s">
        <v>1023</v>
      </c>
      <c r="B25" s="7" t="s">
        <v>1024</v>
      </c>
    </row>
    <row r="26" spans="1:3">
      <c r="A26" s="24"/>
    </row>
    <row r="27" spans="1:3">
      <c r="A27" s="25" t="s">
        <v>22</v>
      </c>
      <c r="B27" s="26"/>
      <c r="C27" s="8" t="s">
        <v>1025</v>
      </c>
    </row>
    <row r="28" spans="1:3">
      <c r="A28" s="3" t="s">
        <v>986</v>
      </c>
      <c r="B28" s="7" t="s">
        <v>9</v>
      </c>
    </row>
    <row r="29" spans="1:3">
      <c r="A29" s="3">
        <v>1</v>
      </c>
      <c r="B29" s="7" t="s">
        <v>1026</v>
      </c>
    </row>
    <row r="30" spans="1:3">
      <c r="A30" s="3">
        <v>2</v>
      </c>
      <c r="B30" s="7" t="s">
        <v>1027</v>
      </c>
    </row>
    <row r="31" spans="1:3">
      <c r="A31" s="27"/>
      <c r="B31" s="28"/>
    </row>
    <row r="32" spans="1:3">
      <c r="A32" s="6" t="s">
        <v>79</v>
      </c>
      <c r="C32" s="8" t="s">
        <v>1028</v>
      </c>
    </row>
    <row r="33" spans="1:3">
      <c r="A33" s="3" t="s">
        <v>986</v>
      </c>
      <c r="B33" s="7" t="s">
        <v>9</v>
      </c>
    </row>
    <row r="34" spans="1:3">
      <c r="A34" s="3">
        <v>1</v>
      </c>
      <c r="B34" s="7" t="s">
        <v>1029</v>
      </c>
    </row>
    <row r="35" spans="1:3">
      <c r="A35" s="3">
        <v>2</v>
      </c>
      <c r="B35" s="7" t="s">
        <v>1030</v>
      </c>
    </row>
    <row r="36" spans="1:3">
      <c r="A36" s="11">
        <v>9</v>
      </c>
      <c r="B36" s="12" t="s">
        <v>1031</v>
      </c>
    </row>
    <row r="38" spans="1:3">
      <c r="A38" s="6" t="s">
        <v>34</v>
      </c>
      <c r="B38" s="3"/>
      <c r="C38" s="8" t="s">
        <v>33</v>
      </c>
    </row>
    <row r="39" spans="1:3">
      <c r="A39" s="3" t="s">
        <v>986</v>
      </c>
      <c r="B39" s="7" t="s">
        <v>9</v>
      </c>
    </row>
    <row r="40" spans="1:3">
      <c r="A40" s="27">
        <v>1</v>
      </c>
      <c r="B40" s="28" t="s">
        <v>1032</v>
      </c>
    </row>
    <row r="41" spans="1:3">
      <c r="A41" s="27">
        <v>2</v>
      </c>
      <c r="B41" s="28" t="s">
        <v>1033</v>
      </c>
    </row>
    <row r="42" spans="1:3">
      <c r="A42" s="27">
        <v>3</v>
      </c>
      <c r="B42" s="28" t="s">
        <v>1034</v>
      </c>
    </row>
    <row r="43" spans="1:3">
      <c r="A43" s="29"/>
      <c r="B43" s="3"/>
    </row>
    <row r="44" spans="1:3">
      <c r="A44" s="6" t="s">
        <v>46</v>
      </c>
      <c r="B44" s="6"/>
      <c r="C44" s="8" t="s">
        <v>45</v>
      </c>
    </row>
    <row r="45" spans="1:3">
      <c r="A45" s="3" t="s">
        <v>986</v>
      </c>
      <c r="B45" s="7" t="s">
        <v>9</v>
      </c>
    </row>
    <row r="46" spans="1:3">
      <c r="A46" s="29">
        <v>1</v>
      </c>
      <c r="B46" s="3" t="s">
        <v>1035</v>
      </c>
    </row>
    <row r="47" spans="1:3">
      <c r="A47" s="29">
        <v>2</v>
      </c>
      <c r="B47" s="3" t="s">
        <v>1036</v>
      </c>
    </row>
    <row r="48" spans="1:3">
      <c r="A48" s="29">
        <v>3</v>
      </c>
      <c r="B48" s="3" t="s">
        <v>1037</v>
      </c>
    </row>
    <row r="49" spans="1:3">
      <c r="A49" s="29">
        <v>4</v>
      </c>
      <c r="B49" s="3" t="s">
        <v>1038</v>
      </c>
    </row>
    <row r="50" spans="1:3">
      <c r="A50" s="29">
        <v>5</v>
      </c>
      <c r="B50" s="3" t="s">
        <v>1039</v>
      </c>
    </row>
    <row r="51" spans="1:3">
      <c r="A51" s="29">
        <v>6</v>
      </c>
      <c r="B51" s="3" t="s">
        <v>1040</v>
      </c>
    </row>
    <row r="52" spans="1:3">
      <c r="A52" s="29">
        <v>7</v>
      </c>
      <c r="B52" s="3" t="s">
        <v>1041</v>
      </c>
    </row>
    <row r="53" spans="1:3">
      <c r="A53" s="29">
        <v>8</v>
      </c>
      <c r="B53" s="3" t="s">
        <v>1042</v>
      </c>
    </row>
    <row r="55" spans="1:3">
      <c r="A55" s="25" t="s">
        <v>49</v>
      </c>
      <c r="C55" s="15" t="s">
        <v>1043</v>
      </c>
    </row>
    <row r="56" spans="1:3">
      <c r="A56" s="3" t="s">
        <v>986</v>
      </c>
      <c r="B56" s="7" t="s">
        <v>9</v>
      </c>
    </row>
    <row r="57" spans="1:3">
      <c r="A57" s="3">
        <v>1</v>
      </c>
      <c r="B57" s="7" t="s">
        <v>1044</v>
      </c>
    </row>
    <row r="58" spans="1:3">
      <c r="A58" s="3">
        <v>2</v>
      </c>
      <c r="B58" s="7" t="s">
        <v>1045</v>
      </c>
    </row>
    <row r="59" spans="1:3">
      <c r="A59" s="3">
        <v>9</v>
      </c>
      <c r="B59" s="7" t="s">
        <v>1031</v>
      </c>
    </row>
    <row r="61" spans="1:3">
      <c r="A61" s="6" t="s">
        <v>30</v>
      </c>
      <c r="C61" s="15" t="s">
        <v>1046</v>
      </c>
    </row>
    <row r="62" spans="1:3">
      <c r="A62" s="3" t="s">
        <v>986</v>
      </c>
      <c r="B62" s="7" t="s">
        <v>9</v>
      </c>
    </row>
    <row r="63" spans="1:3">
      <c r="A63" s="3">
        <v>1</v>
      </c>
      <c r="B63" s="7" t="s">
        <v>1029</v>
      </c>
    </row>
    <row r="64" spans="1:3">
      <c r="A64" s="3">
        <v>2</v>
      </c>
      <c r="B64" s="7" t="s">
        <v>1030</v>
      </c>
    </row>
    <row r="66" spans="1:3">
      <c r="A66" s="25" t="s">
        <v>66</v>
      </c>
      <c r="C66" s="8" t="s">
        <v>65</v>
      </c>
    </row>
    <row r="67" spans="1:3">
      <c r="A67" s="3" t="s">
        <v>986</v>
      </c>
      <c r="B67" s="7" t="s">
        <v>9</v>
      </c>
    </row>
    <row r="68" spans="1:3">
      <c r="A68" s="3">
        <v>1</v>
      </c>
      <c r="B68" s="7" t="s">
        <v>1047</v>
      </c>
    </row>
    <row r="69" spans="1:3">
      <c r="A69" s="3">
        <v>2</v>
      </c>
      <c r="B69" s="7" t="s">
        <v>1048</v>
      </c>
    </row>
    <row r="70" spans="1:3">
      <c r="A70" s="3">
        <v>3</v>
      </c>
      <c r="B70" s="7" t="s">
        <v>1049</v>
      </c>
    </row>
    <row r="71" spans="1:3">
      <c r="A71" s="3">
        <v>9</v>
      </c>
      <c r="B71" s="7" t="s">
        <v>1031</v>
      </c>
    </row>
    <row r="73" spans="1:3">
      <c r="A73" s="25" t="s">
        <v>69</v>
      </c>
      <c r="C73" s="8" t="s">
        <v>68</v>
      </c>
    </row>
    <row r="74" spans="1:3">
      <c r="A74" s="3" t="s">
        <v>986</v>
      </c>
      <c r="B74" s="7" t="s">
        <v>9</v>
      </c>
    </row>
    <row r="75" spans="1:3">
      <c r="A75" s="3">
        <v>1</v>
      </c>
      <c r="B75" s="7" t="s">
        <v>1050</v>
      </c>
    </row>
    <row r="76" spans="1:3">
      <c r="A76" s="3">
        <v>2</v>
      </c>
      <c r="B76" s="7" t="s">
        <v>1051</v>
      </c>
    </row>
    <row r="77" spans="1:3">
      <c r="A77" s="3">
        <v>3</v>
      </c>
      <c r="B77" s="7" t="s">
        <v>1052</v>
      </c>
    </row>
    <row r="78" spans="1:3">
      <c r="A78" s="3">
        <v>4</v>
      </c>
      <c r="B78" s="7" t="s">
        <v>1053</v>
      </c>
    </row>
    <row r="79" spans="1:3">
      <c r="A79" s="3">
        <v>5</v>
      </c>
      <c r="B79" s="7" t="s">
        <v>1054</v>
      </c>
    </row>
    <row r="80" spans="1:3">
      <c r="A80" s="3">
        <v>9</v>
      </c>
      <c r="B80" s="7" t="s">
        <v>1031</v>
      </c>
    </row>
    <row r="82" spans="1:3">
      <c r="A82" s="6" t="s">
        <v>72</v>
      </c>
      <c r="C82" s="8" t="s">
        <v>71</v>
      </c>
    </row>
    <row r="83" spans="1:3">
      <c r="A83" s="3" t="s">
        <v>986</v>
      </c>
      <c r="B83" s="7" t="s">
        <v>9</v>
      </c>
    </row>
    <row r="84" spans="1:3">
      <c r="A84" s="30" t="s">
        <v>987</v>
      </c>
      <c r="B84" s="31" t="s">
        <v>1055</v>
      </c>
    </row>
    <row r="85" spans="1:3">
      <c r="A85" s="30" t="s">
        <v>989</v>
      </c>
      <c r="B85" s="31" t="s">
        <v>1056</v>
      </c>
    </row>
    <row r="86" spans="1:3">
      <c r="A86" s="30" t="s">
        <v>991</v>
      </c>
      <c r="B86" s="31" t="s">
        <v>1057</v>
      </c>
    </row>
    <row r="87" spans="1:3">
      <c r="A87" s="30" t="s">
        <v>993</v>
      </c>
      <c r="B87" s="31" t="s">
        <v>1058</v>
      </c>
    </row>
    <row r="88" spans="1:3">
      <c r="A88" s="30" t="s">
        <v>995</v>
      </c>
      <c r="B88" s="31" t="s">
        <v>1059</v>
      </c>
    </row>
    <row r="89" spans="1:3">
      <c r="A89" s="30" t="s">
        <v>997</v>
      </c>
      <c r="B89" s="31" t="s">
        <v>1060</v>
      </c>
    </row>
    <row r="90" spans="1:3">
      <c r="A90" s="30" t="s">
        <v>999</v>
      </c>
      <c r="B90" s="31" t="s">
        <v>1061</v>
      </c>
    </row>
    <row r="91" spans="1:3">
      <c r="A91" s="30" t="s">
        <v>1001</v>
      </c>
      <c r="B91" s="31" t="s">
        <v>1062</v>
      </c>
    </row>
    <row r="92" spans="1:3">
      <c r="A92" s="30" t="s">
        <v>1003</v>
      </c>
      <c r="B92" s="31" t="s">
        <v>1063</v>
      </c>
    </row>
    <row r="93" spans="1:3">
      <c r="A93" s="30">
        <v>99</v>
      </c>
      <c r="B93" s="7" t="s">
        <v>1031</v>
      </c>
    </row>
    <row r="95" spans="1:3">
      <c r="A95" s="6" t="s">
        <v>75</v>
      </c>
      <c r="C95" s="8" t="s">
        <v>74</v>
      </c>
    </row>
    <row r="96" spans="1:3">
      <c r="A96" s="3" t="s">
        <v>986</v>
      </c>
      <c r="B96" s="7" t="s">
        <v>9</v>
      </c>
    </row>
    <row r="97" spans="1:3">
      <c r="A97" s="3">
        <v>1</v>
      </c>
      <c r="B97" s="7" t="s">
        <v>1064</v>
      </c>
    </row>
    <row r="98" spans="1:3">
      <c r="A98" s="3">
        <v>2</v>
      </c>
      <c r="B98" s="7" t="s">
        <v>1065</v>
      </c>
    </row>
    <row r="99" spans="1:3">
      <c r="A99" s="3">
        <v>3</v>
      </c>
      <c r="B99" s="7" t="s">
        <v>1066</v>
      </c>
    </row>
    <row r="100" spans="1:3">
      <c r="A100" s="3">
        <v>4</v>
      </c>
      <c r="B100" s="7" t="s">
        <v>1030</v>
      </c>
    </row>
    <row r="101" spans="1:3">
      <c r="A101" s="11">
        <v>9</v>
      </c>
      <c r="B101" s="12" t="s">
        <v>1031</v>
      </c>
    </row>
    <row r="102" spans="1:3">
      <c r="A102" s="11"/>
      <c r="B102" s="12"/>
    </row>
    <row r="103" spans="1:3">
      <c r="A103" s="6" t="s">
        <v>92</v>
      </c>
      <c r="C103" s="8" t="s">
        <v>91</v>
      </c>
    </row>
    <row r="104" spans="1:3">
      <c r="A104" s="3" t="s">
        <v>986</v>
      </c>
      <c r="B104" s="7" t="s">
        <v>9</v>
      </c>
    </row>
    <row r="105" spans="1:3">
      <c r="A105" s="3">
        <v>1</v>
      </c>
      <c r="B105" s="7" t="s">
        <v>1067</v>
      </c>
    </row>
    <row r="106" spans="1:3">
      <c r="A106" s="3">
        <v>2</v>
      </c>
      <c r="B106" s="7" t="s">
        <v>1068</v>
      </c>
    </row>
    <row r="107" spans="1:3">
      <c r="A107" s="3">
        <v>3</v>
      </c>
      <c r="B107" s="7" t="s">
        <v>1069</v>
      </c>
    </row>
    <row r="108" spans="1:3">
      <c r="A108" s="3">
        <v>4</v>
      </c>
      <c r="B108" s="7" t="s">
        <v>1070</v>
      </c>
    </row>
    <row r="109" spans="1:3">
      <c r="A109" s="3">
        <v>5</v>
      </c>
      <c r="B109" s="7" t="s">
        <v>1071</v>
      </c>
    </row>
    <row r="110" spans="1:3">
      <c r="A110" s="3">
        <v>6</v>
      </c>
      <c r="B110" s="7" t="s">
        <v>1072</v>
      </c>
    </row>
    <row r="111" spans="1:3">
      <c r="A111" s="11">
        <v>9</v>
      </c>
      <c r="B111" s="12" t="s">
        <v>1031</v>
      </c>
    </row>
    <row r="113" spans="1:3">
      <c r="A113" s="6" t="s">
        <v>95</v>
      </c>
      <c r="C113" s="8" t="s">
        <v>94</v>
      </c>
    </row>
    <row r="114" spans="1:3">
      <c r="A114" s="3" t="s">
        <v>986</v>
      </c>
      <c r="B114" s="7" t="s">
        <v>9</v>
      </c>
    </row>
    <row r="115" spans="1:3">
      <c r="A115" s="11">
        <v>1</v>
      </c>
      <c r="B115" s="12" t="s">
        <v>1073</v>
      </c>
    </row>
    <row r="116" spans="1:3">
      <c r="A116" s="11">
        <v>2</v>
      </c>
      <c r="B116" s="12" t="s">
        <v>1074</v>
      </c>
    </row>
    <row r="117" spans="1:3">
      <c r="A117" s="11">
        <v>3</v>
      </c>
      <c r="B117" s="12" t="s">
        <v>1075</v>
      </c>
    </row>
    <row r="118" spans="1:3">
      <c r="A118" s="11">
        <v>4</v>
      </c>
      <c r="B118" s="12" t="s">
        <v>1076</v>
      </c>
    </row>
    <row r="119" spans="1:3">
      <c r="A119" s="11">
        <v>5</v>
      </c>
      <c r="B119" s="12" t="s">
        <v>1077</v>
      </c>
    </row>
    <row r="120" spans="1:3">
      <c r="A120" s="11">
        <v>9</v>
      </c>
      <c r="B120" s="12" t="s">
        <v>1031</v>
      </c>
    </row>
    <row r="122" spans="1:3">
      <c r="A122" s="25" t="s">
        <v>99</v>
      </c>
      <c r="C122" s="8" t="s">
        <v>98</v>
      </c>
    </row>
    <row r="123" spans="1:3">
      <c r="A123" s="3" t="s">
        <v>986</v>
      </c>
      <c r="B123" s="7" t="s">
        <v>9</v>
      </c>
    </row>
    <row r="124" spans="1:3">
      <c r="A124" s="24" t="s">
        <v>987</v>
      </c>
      <c r="B124" s="7" t="s">
        <v>1078</v>
      </c>
    </row>
    <row r="125" spans="1:3">
      <c r="A125" s="24" t="s">
        <v>989</v>
      </c>
      <c r="B125" s="7" t="s">
        <v>1079</v>
      </c>
    </row>
    <row r="126" spans="1:3">
      <c r="A126" s="24" t="s">
        <v>991</v>
      </c>
      <c r="B126" s="7" t="s">
        <v>1080</v>
      </c>
    </row>
    <row r="127" spans="1:3">
      <c r="A127" s="24" t="s">
        <v>993</v>
      </c>
      <c r="B127" s="7" t="s">
        <v>1081</v>
      </c>
    </row>
    <row r="128" spans="1:3">
      <c r="A128" s="24" t="s">
        <v>995</v>
      </c>
      <c r="B128" s="7" t="s">
        <v>1068</v>
      </c>
    </row>
    <row r="129" spans="1:3">
      <c r="A129" s="24" t="s">
        <v>997</v>
      </c>
      <c r="B129" s="7" t="s">
        <v>1069</v>
      </c>
    </row>
    <row r="130" spans="1:3">
      <c r="A130" s="24" t="s">
        <v>999</v>
      </c>
      <c r="B130" s="7" t="s">
        <v>1070</v>
      </c>
    </row>
    <row r="131" spans="1:3">
      <c r="A131" s="24" t="s">
        <v>1001</v>
      </c>
      <c r="B131" s="7" t="s">
        <v>1071</v>
      </c>
    </row>
    <row r="132" spans="1:3">
      <c r="A132" s="24" t="s">
        <v>1003</v>
      </c>
      <c r="B132" s="7" t="s">
        <v>1072</v>
      </c>
    </row>
    <row r="133" spans="1:3">
      <c r="A133" s="3">
        <v>99</v>
      </c>
      <c r="B133" s="7" t="s">
        <v>1031</v>
      </c>
    </row>
    <row r="135" spans="1:3">
      <c r="A135" s="6" t="s">
        <v>102</v>
      </c>
      <c r="C135" s="8" t="s">
        <v>101</v>
      </c>
    </row>
    <row r="136" spans="1:3">
      <c r="A136" s="3" t="s">
        <v>986</v>
      </c>
      <c r="B136" s="7" t="s">
        <v>9</v>
      </c>
    </row>
    <row r="137" spans="1:3">
      <c r="A137" s="3">
        <v>1</v>
      </c>
      <c r="B137" s="7" t="s">
        <v>1082</v>
      </c>
    </row>
    <row r="138" spans="1:3">
      <c r="A138" s="3">
        <v>2</v>
      </c>
      <c r="B138" s="7" t="s">
        <v>1075</v>
      </c>
    </row>
    <row r="139" spans="1:3">
      <c r="A139" s="3">
        <v>3</v>
      </c>
      <c r="B139" s="7" t="s">
        <v>1076</v>
      </c>
    </row>
    <row r="140" spans="1:3">
      <c r="A140" s="3">
        <v>4</v>
      </c>
      <c r="B140" s="7" t="s">
        <v>1083</v>
      </c>
    </row>
    <row r="141" spans="1:3">
      <c r="A141" s="3">
        <v>5</v>
      </c>
      <c r="B141" s="7" t="s">
        <v>1084</v>
      </c>
    </row>
    <row r="142" spans="1:3">
      <c r="A142" s="3">
        <v>9</v>
      </c>
      <c r="B142" s="7" t="s">
        <v>1031</v>
      </c>
    </row>
    <row r="144" spans="1:3">
      <c r="A144" s="6" t="s">
        <v>105</v>
      </c>
      <c r="C144" s="8" t="s">
        <v>104</v>
      </c>
    </row>
    <row r="145" spans="1:3">
      <c r="A145" s="3" t="s">
        <v>986</v>
      </c>
      <c r="B145" s="7" t="s">
        <v>9</v>
      </c>
    </row>
    <row r="146" spans="1:3">
      <c r="A146" s="3">
        <v>1</v>
      </c>
      <c r="B146" s="7" t="s">
        <v>1082</v>
      </c>
    </row>
    <row r="147" spans="1:3">
      <c r="A147" s="3">
        <v>2</v>
      </c>
      <c r="B147" s="7" t="s">
        <v>1075</v>
      </c>
    </row>
    <row r="148" spans="1:3">
      <c r="A148" s="3">
        <v>3</v>
      </c>
      <c r="B148" s="7" t="s">
        <v>1076</v>
      </c>
    </row>
    <row r="149" spans="1:3">
      <c r="A149" s="3">
        <v>4</v>
      </c>
      <c r="B149" s="7" t="s">
        <v>1083</v>
      </c>
    </row>
    <row r="150" spans="1:3">
      <c r="A150" s="3">
        <v>5</v>
      </c>
      <c r="B150" s="7" t="s">
        <v>1084</v>
      </c>
    </row>
    <row r="151" spans="1:3">
      <c r="A151" s="3">
        <v>9</v>
      </c>
      <c r="B151" s="7" t="s">
        <v>1031</v>
      </c>
    </row>
    <row r="153" spans="1:3">
      <c r="A153" s="6" t="s">
        <v>108</v>
      </c>
      <c r="C153" s="8" t="s">
        <v>107</v>
      </c>
    </row>
    <row r="154" spans="1:3">
      <c r="A154" s="3" t="s">
        <v>986</v>
      </c>
      <c r="B154" s="7" t="s">
        <v>9</v>
      </c>
    </row>
    <row r="155" spans="1:3">
      <c r="A155" s="32">
        <v>1</v>
      </c>
      <c r="B155" s="31" t="s">
        <v>1030</v>
      </c>
    </row>
    <row r="156" spans="1:3">
      <c r="A156" s="32">
        <v>2</v>
      </c>
      <c r="B156" s="31" t="s">
        <v>1085</v>
      </c>
    </row>
    <row r="157" spans="1:3">
      <c r="A157" s="32">
        <v>3</v>
      </c>
      <c r="B157" s="31" t="s">
        <v>1086</v>
      </c>
    </row>
    <row r="158" spans="1:3">
      <c r="A158" s="32">
        <v>4</v>
      </c>
      <c r="B158" s="31" t="s">
        <v>1087</v>
      </c>
    </row>
    <row r="159" spans="1:3">
      <c r="A159" s="32">
        <v>5</v>
      </c>
      <c r="B159" s="31" t="s">
        <v>1088</v>
      </c>
    </row>
    <row r="160" spans="1:3">
      <c r="A160" s="3">
        <v>9</v>
      </c>
      <c r="B160" s="7" t="s">
        <v>1031</v>
      </c>
    </row>
    <row r="161" spans="1:3">
      <c r="A161" s="11"/>
      <c r="B161" s="12"/>
    </row>
    <row r="162" spans="1:3">
      <c r="A162" s="25" t="s">
        <v>111</v>
      </c>
      <c r="C162" s="8" t="s">
        <v>110</v>
      </c>
    </row>
    <row r="163" spans="1:3">
      <c r="A163" s="3" t="s">
        <v>986</v>
      </c>
      <c r="B163" s="7" t="s">
        <v>9</v>
      </c>
    </row>
    <row r="164" spans="1:3">
      <c r="A164" s="11">
        <v>1</v>
      </c>
      <c r="B164" s="12" t="s">
        <v>1089</v>
      </c>
    </row>
    <row r="165" spans="1:3">
      <c r="A165" s="11">
        <v>2</v>
      </c>
      <c r="B165" s="12" t="s">
        <v>1090</v>
      </c>
    </row>
    <row r="166" spans="1:3">
      <c r="A166" s="3">
        <v>9</v>
      </c>
      <c r="B166" s="7" t="s">
        <v>1031</v>
      </c>
    </row>
    <row r="168" spans="1:3">
      <c r="A168" s="6" t="s">
        <v>114</v>
      </c>
      <c r="C168" s="8" t="s">
        <v>113</v>
      </c>
    </row>
    <row r="169" spans="1:3">
      <c r="A169" s="3" t="s">
        <v>986</v>
      </c>
      <c r="B169" s="7" t="s">
        <v>9</v>
      </c>
    </row>
    <row r="170" spans="1:3">
      <c r="A170" s="24" t="s">
        <v>987</v>
      </c>
      <c r="B170" s="7" t="s">
        <v>1091</v>
      </c>
    </row>
    <row r="171" spans="1:3">
      <c r="A171" s="24" t="s">
        <v>989</v>
      </c>
      <c r="B171" s="7" t="s">
        <v>1092</v>
      </c>
    </row>
    <row r="172" spans="1:3">
      <c r="A172" s="24" t="s">
        <v>991</v>
      </c>
      <c r="B172" s="7" t="s">
        <v>1093</v>
      </c>
    </row>
    <row r="173" spans="1:3">
      <c r="A173" s="24" t="s">
        <v>993</v>
      </c>
      <c r="B173" s="7" t="s">
        <v>1094</v>
      </c>
    </row>
    <row r="174" spans="1:3">
      <c r="A174" s="24" t="s">
        <v>995</v>
      </c>
      <c r="B174" s="7" t="s">
        <v>1095</v>
      </c>
    </row>
    <row r="175" spans="1:3">
      <c r="A175" s="24" t="s">
        <v>997</v>
      </c>
      <c r="B175" s="7" t="s">
        <v>1096</v>
      </c>
    </row>
    <row r="176" spans="1:3">
      <c r="A176" s="24" t="s">
        <v>999</v>
      </c>
      <c r="B176" s="7" t="s">
        <v>1097</v>
      </c>
    </row>
    <row r="177" spans="1:3">
      <c r="A177" s="24" t="s">
        <v>1001</v>
      </c>
      <c r="B177" s="7" t="s">
        <v>1098</v>
      </c>
    </row>
    <row r="178" spans="1:3">
      <c r="A178" s="3">
        <v>99</v>
      </c>
      <c r="B178" s="7" t="s">
        <v>1031</v>
      </c>
    </row>
    <row r="180" spans="1:3">
      <c r="A180" s="6" t="s">
        <v>125</v>
      </c>
      <c r="C180" s="8" t="s">
        <v>124</v>
      </c>
    </row>
    <row r="181" spans="1:3">
      <c r="A181" s="3" t="s">
        <v>986</v>
      </c>
      <c r="B181" s="7" t="s">
        <v>9</v>
      </c>
    </row>
    <row r="182" spans="1:3">
      <c r="A182" s="3">
        <v>1</v>
      </c>
      <c r="B182" s="7" t="s">
        <v>1067</v>
      </c>
    </row>
    <row r="183" spans="1:3">
      <c r="A183" s="3">
        <v>2</v>
      </c>
      <c r="B183" s="7" t="s">
        <v>1068</v>
      </c>
    </row>
    <row r="184" spans="1:3">
      <c r="A184" s="3">
        <v>3</v>
      </c>
      <c r="B184" s="7" t="s">
        <v>1069</v>
      </c>
    </row>
    <row r="185" spans="1:3">
      <c r="A185" s="3">
        <v>4</v>
      </c>
      <c r="B185" s="7" t="s">
        <v>1070</v>
      </c>
    </row>
    <row r="186" spans="1:3">
      <c r="A186" s="3">
        <v>5</v>
      </c>
      <c r="B186" s="7" t="s">
        <v>1071</v>
      </c>
    </row>
    <row r="187" spans="1:3">
      <c r="A187" s="3">
        <v>6</v>
      </c>
      <c r="B187" s="7" t="s">
        <v>1072</v>
      </c>
    </row>
    <row r="188" spans="1:3">
      <c r="A188" s="11">
        <v>9</v>
      </c>
      <c r="B188" s="12" t="s">
        <v>1031</v>
      </c>
    </row>
    <row r="190" spans="1:3">
      <c r="A190" s="6" t="s">
        <v>128</v>
      </c>
      <c r="C190" s="8" t="s">
        <v>127</v>
      </c>
    </row>
    <row r="191" spans="1:3">
      <c r="A191" s="3" t="s">
        <v>986</v>
      </c>
      <c r="B191" s="7" t="s">
        <v>9</v>
      </c>
    </row>
    <row r="192" spans="1:3">
      <c r="A192" s="3">
        <v>1</v>
      </c>
      <c r="B192" s="7" t="s">
        <v>1099</v>
      </c>
    </row>
    <row r="193" spans="1:3">
      <c r="A193" s="3">
        <v>2</v>
      </c>
      <c r="B193" s="7" t="s">
        <v>1100</v>
      </c>
    </row>
    <row r="194" spans="1:3">
      <c r="A194" s="3">
        <v>3</v>
      </c>
      <c r="B194" s="7" t="s">
        <v>1101</v>
      </c>
    </row>
    <row r="195" spans="1:3">
      <c r="A195" s="3">
        <v>4</v>
      </c>
      <c r="B195" s="7" t="s">
        <v>1102</v>
      </c>
    </row>
    <row r="196" spans="1:3">
      <c r="A196" s="3">
        <v>5</v>
      </c>
      <c r="B196" s="7" t="s">
        <v>1103</v>
      </c>
    </row>
    <row r="198" spans="1:3">
      <c r="A198" s="6" t="s">
        <v>134</v>
      </c>
      <c r="C198" s="8" t="s">
        <v>133</v>
      </c>
    </row>
    <row r="199" spans="1:3">
      <c r="A199" s="3" t="s">
        <v>986</v>
      </c>
      <c r="B199" s="7" t="s">
        <v>9</v>
      </c>
    </row>
    <row r="200" spans="1:3">
      <c r="A200" s="3">
        <v>1</v>
      </c>
      <c r="B200" s="7" t="s">
        <v>1104</v>
      </c>
    </row>
    <row r="201" spans="1:3">
      <c r="A201" s="3">
        <v>2</v>
      </c>
      <c r="B201" s="7" t="s">
        <v>1105</v>
      </c>
    </row>
    <row r="202" spans="1:3">
      <c r="A202" s="3">
        <v>3</v>
      </c>
      <c r="B202" s="7" t="s">
        <v>1106</v>
      </c>
    </row>
    <row r="203" spans="1:3">
      <c r="A203" s="3">
        <v>9</v>
      </c>
      <c r="B203" s="12" t="s">
        <v>1031</v>
      </c>
    </row>
    <row r="204" spans="1:3">
      <c r="B204" s="12"/>
    </row>
    <row r="205" spans="1:3">
      <c r="A205" s="6" t="s">
        <v>137</v>
      </c>
      <c r="C205" s="8" t="s">
        <v>136</v>
      </c>
    </row>
    <row r="206" spans="1:3">
      <c r="A206" s="3" t="s">
        <v>986</v>
      </c>
      <c r="B206" s="7" t="s">
        <v>9</v>
      </c>
    </row>
    <row r="207" spans="1:3">
      <c r="A207" s="3">
        <v>1</v>
      </c>
      <c r="B207" s="7" t="s">
        <v>1107</v>
      </c>
    </row>
    <row r="208" spans="1:3">
      <c r="A208" s="3">
        <v>2</v>
      </c>
      <c r="B208" s="7" t="s">
        <v>1108</v>
      </c>
    </row>
    <row r="209" spans="1:3">
      <c r="A209" s="3">
        <v>3</v>
      </c>
      <c r="B209" s="7" t="s">
        <v>1109</v>
      </c>
    </row>
    <row r="210" spans="1:3">
      <c r="A210" s="3">
        <v>9</v>
      </c>
      <c r="B210" s="7" t="s">
        <v>1031</v>
      </c>
    </row>
    <row r="212" spans="1:3">
      <c r="A212" s="6" t="s">
        <v>140</v>
      </c>
      <c r="C212" s="8" t="s">
        <v>139</v>
      </c>
    </row>
    <row r="213" spans="1:3">
      <c r="A213" s="3" t="s">
        <v>986</v>
      </c>
      <c r="B213" s="7" t="s">
        <v>9</v>
      </c>
    </row>
    <row r="214" spans="1:3">
      <c r="A214" s="3">
        <v>1</v>
      </c>
      <c r="B214" s="7" t="s">
        <v>1099</v>
      </c>
    </row>
    <row r="215" spans="1:3">
      <c r="A215" s="3">
        <v>2</v>
      </c>
      <c r="B215" s="7" t="s">
        <v>1100</v>
      </c>
    </row>
    <row r="216" spans="1:3">
      <c r="A216" s="3">
        <v>3</v>
      </c>
      <c r="B216" s="7" t="s">
        <v>1101</v>
      </c>
    </row>
    <row r="217" spans="1:3">
      <c r="A217" s="3">
        <v>4</v>
      </c>
      <c r="B217" s="7" t="s">
        <v>1102</v>
      </c>
    </row>
    <row r="218" spans="1:3">
      <c r="A218" s="3">
        <v>5</v>
      </c>
      <c r="B218" s="7" t="s">
        <v>1103</v>
      </c>
    </row>
    <row r="219" spans="1:3">
      <c r="A219" s="3">
        <v>9</v>
      </c>
      <c r="B219" s="12" t="s">
        <v>1031</v>
      </c>
    </row>
    <row r="221" spans="1:3">
      <c r="A221" s="6" t="s">
        <v>352</v>
      </c>
      <c r="C221" s="8" t="s">
        <v>351</v>
      </c>
    </row>
    <row r="222" spans="1:3">
      <c r="A222" s="3" t="s">
        <v>986</v>
      </c>
      <c r="B222" s="7" t="s">
        <v>9</v>
      </c>
    </row>
    <row r="223" spans="1:3">
      <c r="A223" s="3">
        <v>1</v>
      </c>
      <c r="B223" s="3" t="s">
        <v>1110</v>
      </c>
    </row>
    <row r="224" spans="1:3">
      <c r="A224" s="3">
        <v>2</v>
      </c>
      <c r="B224" s="3" t="s">
        <v>1111</v>
      </c>
    </row>
    <row r="225" spans="1:3">
      <c r="A225" s="3">
        <v>3</v>
      </c>
      <c r="B225" s="3" t="s">
        <v>1112</v>
      </c>
    </row>
    <row r="226" spans="1:3">
      <c r="A226" s="3">
        <v>4</v>
      </c>
      <c r="B226" s="3" t="s">
        <v>1113</v>
      </c>
    </row>
    <row r="227" spans="1:3">
      <c r="A227" s="3">
        <v>9</v>
      </c>
      <c r="B227" s="7" t="s">
        <v>1031</v>
      </c>
    </row>
    <row r="229" spans="1:3">
      <c r="A229" s="6" t="s">
        <v>360</v>
      </c>
      <c r="C229" s="8" t="s">
        <v>359</v>
      </c>
    </row>
    <row r="230" spans="1:3">
      <c r="A230" s="3" t="s">
        <v>986</v>
      </c>
      <c r="B230" s="7" t="s">
        <v>9</v>
      </c>
    </row>
    <row r="231" spans="1:3">
      <c r="A231" s="3">
        <v>1</v>
      </c>
      <c r="B231" s="7" t="s">
        <v>1029</v>
      </c>
    </row>
    <row r="232" spans="1:3">
      <c r="A232" s="3">
        <v>2</v>
      </c>
      <c r="B232" s="7" t="s">
        <v>1030</v>
      </c>
    </row>
    <row r="233" spans="1:3">
      <c r="A233" s="3">
        <v>3</v>
      </c>
      <c r="B233" s="7" t="s">
        <v>1114</v>
      </c>
    </row>
    <row r="234" spans="1:3">
      <c r="A234" s="3">
        <v>9</v>
      </c>
      <c r="B234" s="7" t="s">
        <v>1031</v>
      </c>
    </row>
    <row r="236" spans="1:3">
      <c r="A236" s="6" t="s">
        <v>364</v>
      </c>
      <c r="C236" s="8" t="s">
        <v>363</v>
      </c>
    </row>
    <row r="237" spans="1:3">
      <c r="A237" s="3" t="s">
        <v>986</v>
      </c>
      <c r="B237" s="7" t="s">
        <v>9</v>
      </c>
    </row>
    <row r="238" spans="1:3">
      <c r="A238" s="3">
        <v>1</v>
      </c>
      <c r="B238" s="7" t="s">
        <v>1115</v>
      </c>
    </row>
    <row r="239" spans="1:3">
      <c r="A239" s="3">
        <v>2</v>
      </c>
      <c r="B239" s="7" t="s">
        <v>1116</v>
      </c>
    </row>
    <row r="240" spans="1:3">
      <c r="A240" s="3">
        <v>3</v>
      </c>
      <c r="B240" s="7" t="s">
        <v>1117</v>
      </c>
    </row>
    <row r="241" spans="1:3">
      <c r="A241" s="3">
        <v>4</v>
      </c>
      <c r="B241" s="7" t="s">
        <v>1118</v>
      </c>
    </row>
    <row r="242" spans="1:3">
      <c r="A242" s="3">
        <v>9</v>
      </c>
      <c r="B242" s="7" t="s">
        <v>1031</v>
      </c>
    </row>
    <row r="244" spans="1:3">
      <c r="A244" s="6" t="s">
        <v>367</v>
      </c>
      <c r="C244" s="8" t="s">
        <v>366</v>
      </c>
    </row>
    <row r="245" spans="1:3">
      <c r="A245" s="3" t="s">
        <v>986</v>
      </c>
      <c r="B245" s="7" t="s">
        <v>9</v>
      </c>
    </row>
    <row r="246" spans="1:3">
      <c r="A246" s="3">
        <v>1</v>
      </c>
      <c r="B246" s="7" t="s">
        <v>1029</v>
      </c>
    </row>
    <row r="247" spans="1:3">
      <c r="A247" s="3">
        <v>2</v>
      </c>
      <c r="B247" s="7" t="s">
        <v>1030</v>
      </c>
    </row>
    <row r="248" spans="1:3">
      <c r="A248" s="3">
        <v>3</v>
      </c>
      <c r="B248" s="7" t="s">
        <v>1119</v>
      </c>
    </row>
    <row r="249" spans="1:3">
      <c r="A249" s="3">
        <v>9</v>
      </c>
      <c r="B249" s="7" t="s">
        <v>1031</v>
      </c>
    </row>
    <row r="251" spans="1:3">
      <c r="A251" s="6" t="s">
        <v>370</v>
      </c>
      <c r="C251" s="8" t="s">
        <v>1120</v>
      </c>
    </row>
    <row r="252" spans="1:3">
      <c r="A252" s="3" t="s">
        <v>986</v>
      </c>
      <c r="B252" s="7" t="s">
        <v>9</v>
      </c>
    </row>
    <row r="253" spans="1:3">
      <c r="A253" s="3">
        <v>1</v>
      </c>
      <c r="B253" s="7" t="s">
        <v>1115</v>
      </c>
    </row>
    <row r="254" spans="1:3">
      <c r="A254" s="3">
        <v>2</v>
      </c>
      <c r="B254" s="7" t="s">
        <v>1116</v>
      </c>
    </row>
    <row r="255" spans="1:3">
      <c r="A255" s="3">
        <v>3</v>
      </c>
      <c r="B255" s="7" t="s">
        <v>1117</v>
      </c>
    </row>
    <row r="256" spans="1:3">
      <c r="A256" s="3">
        <v>4</v>
      </c>
      <c r="B256" s="7" t="s">
        <v>1121</v>
      </c>
    </row>
    <row r="257" spans="1:3">
      <c r="A257" s="3">
        <v>5</v>
      </c>
      <c r="B257" s="7" t="s">
        <v>1122</v>
      </c>
    </row>
    <row r="258" spans="1:3">
      <c r="A258" s="3">
        <v>9</v>
      </c>
      <c r="B258" s="7" t="s">
        <v>1031</v>
      </c>
    </row>
    <row r="261" spans="1:3">
      <c r="A261" s="6" t="s">
        <v>383</v>
      </c>
      <c r="C261" s="8" t="s">
        <v>1123</v>
      </c>
    </row>
    <row r="262" spans="1:3">
      <c r="A262" s="3" t="s">
        <v>986</v>
      </c>
      <c r="B262" s="7" t="s">
        <v>9</v>
      </c>
    </row>
    <row r="263" spans="1:3">
      <c r="A263" s="3">
        <v>1</v>
      </c>
      <c r="B263" s="7" t="s">
        <v>1115</v>
      </c>
    </row>
    <row r="264" spans="1:3">
      <c r="A264" s="3">
        <v>2</v>
      </c>
      <c r="B264" s="7" t="s">
        <v>1116</v>
      </c>
    </row>
    <row r="265" spans="1:3">
      <c r="A265" s="3">
        <v>3</v>
      </c>
      <c r="B265" s="7" t="s">
        <v>1117</v>
      </c>
    </row>
    <row r="266" spans="1:3">
      <c r="A266" s="3">
        <v>4</v>
      </c>
      <c r="B266" s="7" t="s">
        <v>1124</v>
      </c>
    </row>
    <row r="267" spans="1:3">
      <c r="A267" s="3">
        <v>9</v>
      </c>
      <c r="B267" s="7" t="s">
        <v>1031</v>
      </c>
    </row>
    <row r="269" spans="1:3">
      <c r="A269" s="6" t="s">
        <v>395</v>
      </c>
      <c r="C269" s="8" t="s">
        <v>1125</v>
      </c>
    </row>
    <row r="270" spans="1:3">
      <c r="A270" s="3" t="s">
        <v>986</v>
      </c>
      <c r="B270" s="7" t="s">
        <v>9</v>
      </c>
    </row>
    <row r="271" spans="1:3">
      <c r="A271" s="3">
        <v>1</v>
      </c>
      <c r="B271" s="7" t="s">
        <v>1126</v>
      </c>
    </row>
    <row r="272" spans="1:3">
      <c r="A272" s="3">
        <v>2</v>
      </c>
      <c r="B272" s="7" t="s">
        <v>1030</v>
      </c>
    </row>
    <row r="273" spans="1:3">
      <c r="A273" s="3">
        <v>9</v>
      </c>
      <c r="B273" s="7" t="s">
        <v>1031</v>
      </c>
    </row>
    <row r="275" spans="1:3">
      <c r="A275" s="6" t="s">
        <v>416</v>
      </c>
      <c r="C275" s="33" t="s">
        <v>415</v>
      </c>
    </row>
    <row r="276" spans="1:3">
      <c r="A276" s="3" t="s">
        <v>986</v>
      </c>
      <c r="B276" s="7" t="s">
        <v>9</v>
      </c>
    </row>
    <row r="277" spans="1:3">
      <c r="A277" s="3">
        <v>1</v>
      </c>
      <c r="B277" s="7" t="s">
        <v>1127</v>
      </c>
    </row>
    <row r="278" spans="1:3">
      <c r="A278" s="3">
        <v>2</v>
      </c>
      <c r="B278" s="7" t="s">
        <v>1128</v>
      </c>
    </row>
    <row r="279" spans="1:3">
      <c r="A279" s="3">
        <v>3</v>
      </c>
      <c r="B279" s="7" t="s">
        <v>1129</v>
      </c>
    </row>
    <row r="280" spans="1:3">
      <c r="A280" s="3">
        <v>4</v>
      </c>
      <c r="B280" s="7" t="s">
        <v>1130</v>
      </c>
    </row>
    <row r="281" spans="1:3">
      <c r="A281" s="3">
        <v>5</v>
      </c>
      <c r="B281" s="7" t="s">
        <v>1131</v>
      </c>
    </row>
    <row r="282" spans="1:3">
      <c r="A282" s="3">
        <v>6</v>
      </c>
      <c r="B282" s="7" t="s">
        <v>1132</v>
      </c>
    </row>
    <row r="283" spans="1:3">
      <c r="A283" s="3">
        <v>9</v>
      </c>
      <c r="B283" s="7" t="s">
        <v>1031</v>
      </c>
    </row>
    <row r="285" spans="1:3">
      <c r="A285" s="6" t="s">
        <v>419</v>
      </c>
      <c r="C285" s="33" t="s">
        <v>418</v>
      </c>
    </row>
    <row r="286" spans="1:3">
      <c r="A286" s="3" t="s">
        <v>986</v>
      </c>
      <c r="B286" s="7" t="s">
        <v>9</v>
      </c>
    </row>
    <row r="287" spans="1:3">
      <c r="A287" s="3">
        <v>1</v>
      </c>
      <c r="B287" s="7" t="s">
        <v>1133</v>
      </c>
    </row>
    <row r="288" spans="1:3">
      <c r="A288" s="3">
        <v>2</v>
      </c>
      <c r="B288" s="7" t="s">
        <v>1134</v>
      </c>
    </row>
    <row r="289" spans="1:3">
      <c r="A289" s="3">
        <v>3</v>
      </c>
      <c r="B289" s="7" t="s">
        <v>1135</v>
      </c>
    </row>
    <row r="290" spans="1:3">
      <c r="A290" s="3">
        <v>4</v>
      </c>
      <c r="B290" s="7" t="s">
        <v>1136</v>
      </c>
    </row>
    <row r="291" spans="1:3">
      <c r="A291" s="3">
        <v>5</v>
      </c>
      <c r="B291" s="7" t="s">
        <v>1137</v>
      </c>
    </row>
    <row r="292" spans="1:3">
      <c r="A292" s="3">
        <v>9</v>
      </c>
      <c r="B292" s="7" t="s">
        <v>1031</v>
      </c>
    </row>
    <row r="294" spans="1:3">
      <c r="A294" s="6" t="s">
        <v>429</v>
      </c>
      <c r="C294" s="8" t="s">
        <v>428</v>
      </c>
    </row>
    <row r="295" spans="1:3">
      <c r="A295" s="3" t="s">
        <v>986</v>
      </c>
      <c r="B295" s="7" t="s">
        <v>9</v>
      </c>
    </row>
    <row r="296" spans="1:3">
      <c r="A296" s="3">
        <v>1</v>
      </c>
      <c r="B296" s="3" t="s">
        <v>1138</v>
      </c>
    </row>
    <row r="297" spans="1:3">
      <c r="A297" s="3">
        <v>2</v>
      </c>
      <c r="B297" s="3" t="s">
        <v>1139</v>
      </c>
    </row>
    <row r="298" spans="1:3">
      <c r="A298" s="3">
        <v>3</v>
      </c>
      <c r="B298" s="3" t="s">
        <v>1140</v>
      </c>
    </row>
    <row r="299" spans="1:3">
      <c r="A299" s="3">
        <v>4</v>
      </c>
      <c r="B299" s="3" t="s">
        <v>1141</v>
      </c>
    </row>
    <row r="300" spans="1:3">
      <c r="B300" s="3"/>
    </row>
    <row r="301" spans="1:3">
      <c r="A301" s="6" t="s">
        <v>435</v>
      </c>
      <c r="C301" s="8" t="s">
        <v>434</v>
      </c>
    </row>
    <row r="302" spans="1:3">
      <c r="A302" s="3" t="s">
        <v>986</v>
      </c>
      <c r="B302" s="7" t="s">
        <v>9</v>
      </c>
    </row>
    <row r="303" spans="1:3">
      <c r="A303" s="3">
        <v>1</v>
      </c>
      <c r="B303" s="3" t="s">
        <v>1138</v>
      </c>
    </row>
    <row r="304" spans="1:3">
      <c r="A304" s="3">
        <v>2</v>
      </c>
      <c r="B304" s="3" t="s">
        <v>1139</v>
      </c>
    </row>
    <row r="305" spans="1:3">
      <c r="A305" s="3">
        <v>3</v>
      </c>
      <c r="B305" s="3" t="s">
        <v>1140</v>
      </c>
    </row>
    <row r="306" spans="1:3">
      <c r="A306" s="3">
        <v>4</v>
      </c>
      <c r="B306" s="3" t="s">
        <v>1141</v>
      </c>
    </row>
    <row r="307" spans="1:3">
      <c r="A307" s="3">
        <v>9</v>
      </c>
      <c r="B307" s="11" t="s">
        <v>1031</v>
      </c>
    </row>
    <row r="309" spans="1:3">
      <c r="A309" s="6" t="s">
        <v>440</v>
      </c>
      <c r="C309" s="8" t="s">
        <v>439</v>
      </c>
    </row>
    <row r="310" spans="1:3">
      <c r="A310" s="3" t="s">
        <v>986</v>
      </c>
      <c r="B310" s="7" t="s">
        <v>9</v>
      </c>
    </row>
    <row r="311" spans="1:3">
      <c r="A311" s="3">
        <v>1</v>
      </c>
      <c r="B311" s="7" t="s">
        <v>1142</v>
      </c>
    </row>
    <row r="312" spans="1:3">
      <c r="A312" s="3">
        <v>2</v>
      </c>
      <c r="B312" s="7" t="s">
        <v>1143</v>
      </c>
    </row>
    <row r="313" spans="1:3">
      <c r="A313" s="3">
        <v>9</v>
      </c>
      <c r="B313" s="11" t="s">
        <v>1031</v>
      </c>
    </row>
    <row r="315" spans="1:3">
      <c r="A315" s="6" t="s">
        <v>443</v>
      </c>
      <c r="C315" s="8" t="s">
        <v>442</v>
      </c>
    </row>
    <row r="316" spans="1:3">
      <c r="A316" s="3" t="s">
        <v>986</v>
      </c>
      <c r="B316" s="7" t="s">
        <v>9</v>
      </c>
    </row>
    <row r="317" spans="1:3">
      <c r="A317" s="24" t="s">
        <v>987</v>
      </c>
      <c r="B317" s="7" t="s">
        <v>1144</v>
      </c>
    </row>
    <row r="318" spans="1:3">
      <c r="A318" s="24" t="s">
        <v>989</v>
      </c>
      <c r="B318" s="7" t="s">
        <v>1145</v>
      </c>
    </row>
    <row r="319" spans="1:3">
      <c r="A319" s="24" t="s">
        <v>991</v>
      </c>
      <c r="B319" s="7" t="s">
        <v>1146</v>
      </c>
    </row>
    <row r="320" spans="1:3">
      <c r="A320" s="24" t="s">
        <v>993</v>
      </c>
      <c r="B320" s="7" t="s">
        <v>1147</v>
      </c>
    </row>
    <row r="321" spans="1:3">
      <c r="A321" s="24" t="s">
        <v>995</v>
      </c>
      <c r="B321" s="7" t="s">
        <v>1148</v>
      </c>
    </row>
    <row r="322" spans="1:3">
      <c r="A322" s="24" t="s">
        <v>997</v>
      </c>
      <c r="B322" s="7" t="s">
        <v>1149</v>
      </c>
    </row>
    <row r="323" spans="1:3">
      <c r="A323" s="24" t="s">
        <v>999</v>
      </c>
      <c r="B323" s="7" t="s">
        <v>1150</v>
      </c>
    </row>
    <row r="324" spans="1:3">
      <c r="A324" s="24" t="s">
        <v>1001</v>
      </c>
      <c r="B324" s="7" t="s">
        <v>1151</v>
      </c>
    </row>
    <row r="325" spans="1:3">
      <c r="A325" s="24" t="s">
        <v>1003</v>
      </c>
      <c r="B325" s="7" t="s">
        <v>1152</v>
      </c>
    </row>
    <row r="326" spans="1:3">
      <c r="A326" s="3">
        <v>10</v>
      </c>
      <c r="B326" s="7" t="s">
        <v>1153</v>
      </c>
    </row>
    <row r="327" spans="1:3">
      <c r="A327" s="3">
        <v>11</v>
      </c>
      <c r="B327" s="7" t="s">
        <v>1154</v>
      </c>
    </row>
    <row r="328" spans="1:3">
      <c r="A328" s="3">
        <v>99</v>
      </c>
      <c r="B328" s="7" t="s">
        <v>1031</v>
      </c>
    </row>
    <row r="330" spans="1:3">
      <c r="A330" s="6" t="s">
        <v>446</v>
      </c>
      <c r="C330" s="8" t="s">
        <v>445</v>
      </c>
    </row>
    <row r="331" spans="1:3">
      <c r="A331" s="3" t="s">
        <v>986</v>
      </c>
      <c r="B331" s="7" t="s">
        <v>9</v>
      </c>
    </row>
    <row r="332" spans="1:3">
      <c r="A332" s="3">
        <v>1</v>
      </c>
      <c r="B332" s="3" t="s">
        <v>1155</v>
      </c>
    </row>
    <row r="333" spans="1:3">
      <c r="A333" s="3">
        <v>2</v>
      </c>
      <c r="B333" s="3" t="s">
        <v>1156</v>
      </c>
    </row>
    <row r="334" spans="1:3">
      <c r="A334" s="3">
        <v>3</v>
      </c>
      <c r="B334" s="3" t="s">
        <v>1157</v>
      </c>
    </row>
    <row r="335" spans="1:3">
      <c r="A335" s="3">
        <v>4</v>
      </c>
      <c r="B335" s="3" t="s">
        <v>1158</v>
      </c>
    </row>
    <row r="336" spans="1:3">
      <c r="A336" s="3">
        <v>5</v>
      </c>
      <c r="B336" s="3" t="s">
        <v>1159</v>
      </c>
    </row>
    <row r="337" spans="1:3">
      <c r="A337" s="3">
        <v>6</v>
      </c>
      <c r="B337" s="3" t="s">
        <v>1160</v>
      </c>
    </row>
    <row r="338" spans="1:3">
      <c r="A338" s="3">
        <v>9</v>
      </c>
      <c r="B338" s="11" t="s">
        <v>1031</v>
      </c>
    </row>
    <row r="340" spans="1:3">
      <c r="A340" s="6" t="s">
        <v>449</v>
      </c>
      <c r="B340" s="3"/>
      <c r="C340" s="8" t="s">
        <v>448</v>
      </c>
    </row>
    <row r="341" spans="1:3">
      <c r="A341" s="3" t="s">
        <v>986</v>
      </c>
      <c r="B341" s="7" t="s">
        <v>9</v>
      </c>
    </row>
    <row r="342" spans="1:3">
      <c r="A342" s="29">
        <v>1</v>
      </c>
      <c r="B342" s="3" t="s">
        <v>1161</v>
      </c>
    </row>
    <row r="343" spans="1:3">
      <c r="A343" s="29">
        <v>2</v>
      </c>
      <c r="B343" s="3" t="s">
        <v>1162</v>
      </c>
    </row>
    <row r="344" spans="1:3">
      <c r="A344" s="29">
        <v>3</v>
      </c>
      <c r="B344" s="3" t="s">
        <v>1163</v>
      </c>
    </row>
    <row r="345" spans="1:3">
      <c r="A345" s="29">
        <v>4</v>
      </c>
      <c r="B345" s="3" t="s">
        <v>1164</v>
      </c>
    </row>
    <row r="346" spans="1:3">
      <c r="A346" s="11">
        <v>9</v>
      </c>
      <c r="B346" s="11" t="s">
        <v>1031</v>
      </c>
    </row>
    <row r="348" spans="1:3">
      <c r="A348" s="6" t="s">
        <v>486</v>
      </c>
      <c r="C348" s="8" t="s">
        <v>485</v>
      </c>
    </row>
    <row r="349" spans="1:3">
      <c r="A349" s="3" t="s">
        <v>986</v>
      </c>
      <c r="B349" s="7" t="s">
        <v>9</v>
      </c>
    </row>
    <row r="350" spans="1:3">
      <c r="A350" s="29">
        <v>1</v>
      </c>
      <c r="B350" s="3" t="s">
        <v>1165</v>
      </c>
    </row>
    <row r="351" spans="1:3">
      <c r="A351" s="29">
        <v>2</v>
      </c>
      <c r="B351" s="3" t="s">
        <v>1166</v>
      </c>
    </row>
    <row r="352" spans="1:3">
      <c r="A352" s="29">
        <v>3</v>
      </c>
      <c r="B352" s="3" t="s">
        <v>1167</v>
      </c>
    </row>
    <row r="353" spans="1:3">
      <c r="A353" s="29">
        <v>4</v>
      </c>
      <c r="B353" s="3" t="s">
        <v>1140</v>
      </c>
    </row>
    <row r="354" spans="1:3">
      <c r="A354" s="29">
        <v>5</v>
      </c>
      <c r="B354" s="3" t="s">
        <v>1141</v>
      </c>
    </row>
    <row r="356" spans="1:3">
      <c r="A356" s="6" t="s">
        <v>511</v>
      </c>
      <c r="B356" s="3"/>
      <c r="C356" s="8" t="s">
        <v>510</v>
      </c>
    </row>
    <row r="357" spans="1:3">
      <c r="A357" s="3" t="s">
        <v>986</v>
      </c>
      <c r="B357" s="7" t="s">
        <v>9</v>
      </c>
    </row>
    <row r="358" spans="1:3">
      <c r="A358" s="11">
        <v>1</v>
      </c>
      <c r="B358" s="11" t="s">
        <v>1168</v>
      </c>
    </row>
    <row r="359" spans="1:3">
      <c r="A359" s="11">
        <v>2</v>
      </c>
      <c r="B359" s="11" t="s">
        <v>1162</v>
      </c>
    </row>
    <row r="360" spans="1:3">
      <c r="A360" s="34">
        <v>3</v>
      </c>
      <c r="B360" s="11" t="s">
        <v>1163</v>
      </c>
    </row>
    <row r="361" spans="1:3">
      <c r="A361" s="34">
        <v>4</v>
      </c>
      <c r="B361" s="11" t="s">
        <v>1169</v>
      </c>
    </row>
    <row r="362" spans="1:3">
      <c r="A362" s="3">
        <v>9</v>
      </c>
      <c r="B362" s="7" t="s">
        <v>1031</v>
      </c>
    </row>
    <row r="364" spans="1:3">
      <c r="A364" s="6" t="s">
        <v>539</v>
      </c>
      <c r="B364" s="3"/>
      <c r="C364" s="8" t="s">
        <v>538</v>
      </c>
    </row>
    <row r="365" spans="1:3">
      <c r="A365" s="3" t="s">
        <v>986</v>
      </c>
      <c r="B365" s="7" t="s">
        <v>9</v>
      </c>
    </row>
    <row r="366" spans="1:3">
      <c r="A366" s="29">
        <v>1</v>
      </c>
      <c r="B366" s="3" t="s">
        <v>1170</v>
      </c>
    </row>
    <row r="367" spans="1:3">
      <c r="A367" s="29">
        <v>2</v>
      </c>
      <c r="B367" s="3" t="s">
        <v>1171</v>
      </c>
    </row>
    <row r="368" spans="1:3">
      <c r="A368" s="29">
        <v>3</v>
      </c>
      <c r="B368" s="3" t="s">
        <v>1172</v>
      </c>
    </row>
    <row r="369" spans="1:3">
      <c r="A369" s="29">
        <v>4</v>
      </c>
      <c r="B369" s="3" t="s">
        <v>1173</v>
      </c>
    </row>
    <row r="370" spans="1:3">
      <c r="A370" s="29">
        <v>5</v>
      </c>
      <c r="B370" s="3" t="s">
        <v>1160</v>
      </c>
    </row>
    <row r="371" spans="1:3">
      <c r="A371" s="3">
        <v>9</v>
      </c>
      <c r="B371" s="7" t="s">
        <v>1031</v>
      </c>
    </row>
    <row r="373" spans="1:3">
      <c r="A373" s="6" t="s">
        <v>542</v>
      </c>
      <c r="C373" s="8" t="s">
        <v>541</v>
      </c>
    </row>
    <row r="374" spans="1:3">
      <c r="A374" s="3" t="s">
        <v>986</v>
      </c>
      <c r="B374" s="7" t="s">
        <v>9</v>
      </c>
    </row>
    <row r="375" spans="1:3">
      <c r="A375" s="29">
        <v>1</v>
      </c>
      <c r="B375" s="3" t="s">
        <v>1161</v>
      </c>
    </row>
    <row r="376" spans="1:3">
      <c r="A376" s="29">
        <v>2</v>
      </c>
      <c r="B376" s="3" t="s">
        <v>1174</v>
      </c>
    </row>
    <row r="377" spans="1:3">
      <c r="A377" s="29">
        <v>3</v>
      </c>
      <c r="B377" s="3" t="s">
        <v>1175</v>
      </c>
    </row>
    <row r="378" spans="1:3">
      <c r="A378" s="29">
        <v>4</v>
      </c>
      <c r="B378" s="3" t="s">
        <v>1176</v>
      </c>
    </row>
    <row r="379" spans="1:3">
      <c r="A379" s="29">
        <v>5</v>
      </c>
      <c r="B379" s="3" t="s">
        <v>1177</v>
      </c>
    </row>
    <row r="380" spans="1:3">
      <c r="A380" s="3">
        <v>9</v>
      </c>
      <c r="B380" s="7" t="s">
        <v>1031</v>
      </c>
    </row>
    <row r="382" spans="1:3">
      <c r="A382" s="6" t="s">
        <v>569</v>
      </c>
      <c r="B382" s="3"/>
      <c r="C382" s="8" t="s">
        <v>568</v>
      </c>
    </row>
    <row r="383" spans="1:3">
      <c r="A383" s="3" t="s">
        <v>986</v>
      </c>
      <c r="B383" s="7" t="s">
        <v>9</v>
      </c>
    </row>
    <row r="384" spans="1:3">
      <c r="A384" s="29">
        <v>1</v>
      </c>
      <c r="B384" s="3" t="s">
        <v>1178</v>
      </c>
    </row>
    <row r="385" spans="1:3">
      <c r="A385" s="29">
        <v>2</v>
      </c>
      <c r="B385" s="3" t="s">
        <v>1179</v>
      </c>
    </row>
    <row r="386" spans="1:3">
      <c r="A386" s="29">
        <v>3</v>
      </c>
      <c r="B386" s="3" t="s">
        <v>1180</v>
      </c>
    </row>
    <row r="387" spans="1:3">
      <c r="A387" s="29">
        <v>4</v>
      </c>
      <c r="B387" s="3" t="s">
        <v>1181</v>
      </c>
    </row>
    <row r="388" spans="1:3">
      <c r="A388" s="29">
        <v>5</v>
      </c>
      <c r="B388" s="3" t="s">
        <v>1182</v>
      </c>
    </row>
    <row r="389" spans="1:3">
      <c r="A389" s="34">
        <v>6</v>
      </c>
      <c r="B389" s="11" t="s">
        <v>1183</v>
      </c>
    </row>
    <row r="390" spans="1:3">
      <c r="A390" s="11">
        <v>9</v>
      </c>
      <c r="B390" s="12" t="s">
        <v>1031</v>
      </c>
    </row>
    <row r="392" spans="1:3">
      <c r="A392" s="6" t="s">
        <v>688</v>
      </c>
      <c r="B392" s="3"/>
      <c r="C392" s="8" t="s">
        <v>687</v>
      </c>
    </row>
    <row r="393" spans="1:3">
      <c r="A393" s="3" t="s">
        <v>986</v>
      </c>
      <c r="B393" s="7" t="s">
        <v>9</v>
      </c>
    </row>
    <row r="394" spans="1:3">
      <c r="A394" s="29">
        <v>1</v>
      </c>
      <c r="B394" s="3" t="s">
        <v>1184</v>
      </c>
    </row>
    <row r="395" spans="1:3">
      <c r="A395" s="29">
        <v>2</v>
      </c>
      <c r="B395" s="35" t="s">
        <v>1185</v>
      </c>
    </row>
    <row r="396" spans="1:3">
      <c r="A396" s="29">
        <v>3</v>
      </c>
      <c r="B396" s="3" t="s">
        <v>1186</v>
      </c>
    </row>
    <row r="397" spans="1:3">
      <c r="A397" s="29">
        <v>4</v>
      </c>
      <c r="B397" s="3" t="s">
        <v>1187</v>
      </c>
    </row>
    <row r="398" spans="1:3">
      <c r="A398" s="29">
        <v>5</v>
      </c>
      <c r="B398" s="3" t="s">
        <v>1188</v>
      </c>
    </row>
    <row r="399" spans="1:3">
      <c r="A399" s="11">
        <v>9</v>
      </c>
      <c r="B399" s="12" t="s">
        <v>1031</v>
      </c>
    </row>
    <row r="401" spans="1:3">
      <c r="A401" s="6" t="s">
        <v>693</v>
      </c>
      <c r="B401" s="3"/>
      <c r="C401" s="8" t="s">
        <v>692</v>
      </c>
    </row>
    <row r="402" spans="1:3">
      <c r="A402" s="3" t="s">
        <v>986</v>
      </c>
      <c r="B402" s="7" t="s">
        <v>9</v>
      </c>
    </row>
    <row r="403" spans="1:3">
      <c r="A403" s="29">
        <v>1</v>
      </c>
      <c r="B403" s="3" t="s">
        <v>1184</v>
      </c>
    </row>
    <row r="404" spans="1:3">
      <c r="A404" s="29">
        <v>2</v>
      </c>
      <c r="B404" s="3" t="s">
        <v>1189</v>
      </c>
    </row>
    <row r="405" spans="1:3">
      <c r="A405" s="29">
        <v>3</v>
      </c>
      <c r="B405" s="3" t="s">
        <v>1187</v>
      </c>
    </row>
    <row r="406" spans="1:3">
      <c r="A406" s="29">
        <v>4</v>
      </c>
      <c r="B406" s="3" t="s">
        <v>1188</v>
      </c>
    </row>
    <row r="407" spans="1:3">
      <c r="A407" s="3">
        <v>9</v>
      </c>
      <c r="B407" s="7" t="s">
        <v>1031</v>
      </c>
    </row>
    <row r="409" spans="1:3">
      <c r="A409" s="6" t="s">
        <v>706</v>
      </c>
      <c r="C409" s="8" t="s">
        <v>705</v>
      </c>
    </row>
    <row r="410" spans="1:3">
      <c r="A410" s="3" t="s">
        <v>986</v>
      </c>
      <c r="B410" s="7" t="s">
        <v>9</v>
      </c>
    </row>
    <row r="411" spans="1:3">
      <c r="A411" s="29">
        <v>1</v>
      </c>
      <c r="B411" s="3" t="s">
        <v>1184</v>
      </c>
    </row>
    <row r="412" spans="1:3">
      <c r="A412" s="29">
        <v>2</v>
      </c>
      <c r="B412" s="3" t="s">
        <v>1190</v>
      </c>
    </row>
    <row r="413" spans="1:3">
      <c r="A413" s="29">
        <v>3</v>
      </c>
      <c r="B413" s="3" t="s">
        <v>1191</v>
      </c>
    </row>
    <row r="414" spans="1:3">
      <c r="A414" s="29">
        <v>4</v>
      </c>
      <c r="B414" s="3" t="s">
        <v>1192</v>
      </c>
    </row>
    <row r="415" spans="1:3">
      <c r="A415" s="3">
        <v>9</v>
      </c>
      <c r="B415" s="7" t="s">
        <v>1031</v>
      </c>
    </row>
    <row r="417" spans="1:3">
      <c r="A417" s="6" t="s">
        <v>711</v>
      </c>
      <c r="B417" s="3"/>
      <c r="C417" s="8" t="s">
        <v>710</v>
      </c>
    </row>
    <row r="418" spans="1:3">
      <c r="A418" s="3" t="s">
        <v>986</v>
      </c>
      <c r="B418" s="7" t="s">
        <v>9</v>
      </c>
    </row>
    <row r="419" spans="1:3">
      <c r="A419" s="29">
        <v>1</v>
      </c>
      <c r="B419" s="3" t="s">
        <v>1184</v>
      </c>
    </row>
    <row r="420" spans="1:3">
      <c r="A420" s="3">
        <v>2</v>
      </c>
      <c r="B420" s="3" t="s">
        <v>1185</v>
      </c>
    </row>
    <row r="421" spans="1:3">
      <c r="A421" s="11">
        <v>3</v>
      </c>
      <c r="B421" s="3" t="s">
        <v>1186</v>
      </c>
    </row>
    <row r="422" spans="1:3">
      <c r="A422" s="11">
        <v>4</v>
      </c>
      <c r="B422" s="3" t="s">
        <v>1193</v>
      </c>
    </row>
    <row r="423" spans="1:3">
      <c r="A423" s="3">
        <v>9</v>
      </c>
      <c r="B423" s="7" t="s">
        <v>1031</v>
      </c>
    </row>
    <row r="424" spans="1:3">
      <c r="A424" s="29"/>
      <c r="B424" s="3"/>
    </row>
    <row r="425" spans="1:3">
      <c r="A425" s="25"/>
      <c r="B425" s="25"/>
    </row>
    <row r="426" spans="1:3">
      <c r="A426" s="25" t="s">
        <v>722</v>
      </c>
      <c r="B426" s="3"/>
      <c r="C426" s="8" t="s">
        <v>1194</v>
      </c>
    </row>
    <row r="427" spans="1:3">
      <c r="A427" s="3" t="s">
        <v>986</v>
      </c>
      <c r="B427" s="7" t="s">
        <v>9</v>
      </c>
    </row>
    <row r="428" spans="1:3">
      <c r="A428" s="3">
        <v>1</v>
      </c>
      <c r="B428" s="7" t="s">
        <v>1029</v>
      </c>
    </row>
    <row r="429" spans="1:3">
      <c r="A429" s="3">
        <v>2</v>
      </c>
      <c r="B429" s="7" t="s">
        <v>1030</v>
      </c>
    </row>
    <row r="430" spans="1:3">
      <c r="A430" s="3">
        <v>3</v>
      </c>
      <c r="B430" s="7" t="s">
        <v>1195</v>
      </c>
    </row>
    <row r="431" spans="1:3">
      <c r="A431" s="11">
        <v>9</v>
      </c>
      <c r="B431" s="11" t="s">
        <v>1031</v>
      </c>
    </row>
    <row r="432" spans="1:3">
      <c r="A432" s="36"/>
    </row>
    <row r="433" spans="1:3">
      <c r="A433" s="25" t="s">
        <v>728</v>
      </c>
      <c r="B433" s="3"/>
      <c r="C433" s="8" t="s">
        <v>1196</v>
      </c>
    </row>
    <row r="434" spans="1:3">
      <c r="A434" s="3" t="s">
        <v>986</v>
      </c>
      <c r="B434" s="7" t="s">
        <v>9</v>
      </c>
    </row>
    <row r="435" spans="1:3">
      <c r="A435" s="3">
        <v>1</v>
      </c>
      <c r="B435" s="7" t="s">
        <v>1029</v>
      </c>
    </row>
    <row r="436" spans="1:3">
      <c r="A436" s="3">
        <v>2</v>
      </c>
      <c r="B436" s="7" t="s">
        <v>1030</v>
      </c>
    </row>
    <row r="437" spans="1:3">
      <c r="A437" s="3">
        <v>3</v>
      </c>
      <c r="B437" s="7" t="s">
        <v>1197</v>
      </c>
    </row>
    <row r="438" spans="1:3">
      <c r="A438" s="11">
        <v>9</v>
      </c>
      <c r="B438" s="11" t="s">
        <v>1031</v>
      </c>
    </row>
    <row r="439" spans="1:3">
      <c r="A439" s="11"/>
      <c r="B439" s="11"/>
    </row>
    <row r="440" spans="1:3">
      <c r="A440" s="6" t="s">
        <v>742</v>
      </c>
      <c r="B440" s="3"/>
      <c r="C440" s="8" t="s">
        <v>741</v>
      </c>
    </row>
    <row r="441" spans="1:3">
      <c r="A441" s="3" t="s">
        <v>986</v>
      </c>
      <c r="B441" s="7" t="s">
        <v>9</v>
      </c>
    </row>
    <row r="442" spans="1:3">
      <c r="A442" s="29">
        <v>1</v>
      </c>
      <c r="B442" s="3" t="s">
        <v>1198</v>
      </c>
    </row>
    <row r="443" spans="1:3">
      <c r="A443" s="29">
        <v>2</v>
      </c>
      <c r="B443" s="3" t="s">
        <v>1199</v>
      </c>
    </row>
    <row r="444" spans="1:3">
      <c r="A444" s="29">
        <v>3</v>
      </c>
      <c r="B444" s="3" t="s">
        <v>1200</v>
      </c>
    </row>
    <row r="445" spans="1:3">
      <c r="A445" s="29">
        <v>4</v>
      </c>
      <c r="B445" s="3" t="s">
        <v>1201</v>
      </c>
    </row>
    <row r="446" spans="1:3">
      <c r="A446" s="29">
        <v>5</v>
      </c>
      <c r="B446" s="3" t="s">
        <v>1202</v>
      </c>
    </row>
    <row r="447" spans="1:3">
      <c r="A447" s="11">
        <v>9</v>
      </c>
      <c r="B447" s="12" t="s">
        <v>1031</v>
      </c>
    </row>
    <row r="449" spans="1:3">
      <c r="A449" s="6" t="s">
        <v>746</v>
      </c>
      <c r="C449" s="8" t="s">
        <v>745</v>
      </c>
    </row>
    <row r="450" spans="1:3">
      <c r="A450" s="3" t="s">
        <v>986</v>
      </c>
      <c r="B450" s="7" t="s">
        <v>9</v>
      </c>
    </row>
    <row r="451" spans="1:3">
      <c r="A451" s="3">
        <v>1</v>
      </c>
      <c r="B451" s="7" t="s">
        <v>1203</v>
      </c>
    </row>
    <row r="452" spans="1:3">
      <c r="A452" s="3">
        <v>2</v>
      </c>
      <c r="B452" s="7" t="s">
        <v>1204</v>
      </c>
    </row>
    <row r="453" spans="1:3">
      <c r="A453" s="11">
        <v>3</v>
      </c>
      <c r="B453" s="12" t="s">
        <v>1205</v>
      </c>
    </row>
    <row r="454" spans="1:3">
      <c r="A454" s="11">
        <v>4</v>
      </c>
      <c r="B454" s="12" t="s">
        <v>1206</v>
      </c>
    </row>
    <row r="455" spans="1:3">
      <c r="A455" s="11">
        <v>9</v>
      </c>
      <c r="B455" s="12" t="s">
        <v>1031</v>
      </c>
    </row>
    <row r="457" spans="1:3">
      <c r="A457" s="6" t="s">
        <v>752</v>
      </c>
      <c r="C457" s="8" t="s">
        <v>1207</v>
      </c>
    </row>
    <row r="458" spans="1:3">
      <c r="A458" s="3" t="s">
        <v>986</v>
      </c>
      <c r="B458" s="7" t="s">
        <v>9</v>
      </c>
    </row>
    <row r="459" spans="1:3">
      <c r="A459" s="3">
        <v>1</v>
      </c>
      <c r="B459" s="7" t="s">
        <v>1208</v>
      </c>
    </row>
    <row r="460" spans="1:3">
      <c r="A460" s="3">
        <v>2</v>
      </c>
      <c r="B460" s="7" t="s">
        <v>1209</v>
      </c>
    </row>
    <row r="461" spans="1:3">
      <c r="A461" s="11">
        <v>3</v>
      </c>
      <c r="B461" s="12" t="s">
        <v>1210</v>
      </c>
    </row>
    <row r="462" spans="1:3">
      <c r="A462" s="11">
        <v>4</v>
      </c>
      <c r="B462" s="12" t="s">
        <v>1211</v>
      </c>
    </row>
    <row r="463" spans="1:3">
      <c r="A463" s="3">
        <v>5</v>
      </c>
      <c r="B463" s="7" t="s">
        <v>1212</v>
      </c>
    </row>
    <row r="464" spans="1:3">
      <c r="A464" s="3">
        <v>9</v>
      </c>
      <c r="B464" s="7" t="s">
        <v>1031</v>
      </c>
    </row>
    <row r="466" spans="1:3">
      <c r="A466" s="6" t="s">
        <v>771</v>
      </c>
      <c r="B466" s="3"/>
      <c r="C466" s="8" t="s">
        <v>1213</v>
      </c>
    </row>
    <row r="467" spans="1:3">
      <c r="A467" s="3" t="s">
        <v>986</v>
      </c>
      <c r="B467" s="7" t="s">
        <v>9</v>
      </c>
    </row>
    <row r="468" spans="1:3">
      <c r="A468" s="34">
        <v>1</v>
      </c>
      <c r="B468" s="34" t="s">
        <v>1214</v>
      </c>
    </row>
    <row r="469" spans="1:3">
      <c r="A469" s="34">
        <v>2</v>
      </c>
      <c r="B469" s="34" t="s">
        <v>1215</v>
      </c>
    </row>
    <row r="470" spans="1:3">
      <c r="A470" s="34">
        <v>3</v>
      </c>
      <c r="B470" s="34" t="s">
        <v>1216</v>
      </c>
    </row>
    <row r="471" spans="1:3">
      <c r="A471" s="34">
        <v>4</v>
      </c>
      <c r="B471" s="34" t="s">
        <v>1217</v>
      </c>
    </row>
    <row r="472" spans="1:3">
      <c r="A472" s="34">
        <v>5</v>
      </c>
      <c r="B472" s="34" t="s">
        <v>1218</v>
      </c>
    </row>
    <row r="473" spans="1:3">
      <c r="A473" s="34">
        <v>6</v>
      </c>
      <c r="B473" s="34" t="s">
        <v>1141</v>
      </c>
    </row>
    <row r="474" spans="1:3">
      <c r="A474" s="11">
        <v>9</v>
      </c>
      <c r="B474" s="12" t="s">
        <v>1031</v>
      </c>
    </row>
    <row r="475" spans="1:3">
      <c r="A475" s="37"/>
      <c r="B475" s="38"/>
    </row>
    <row r="476" spans="1:3">
      <c r="A476" s="6" t="s">
        <v>813</v>
      </c>
      <c r="C476" s="8" t="s">
        <v>812</v>
      </c>
    </row>
    <row r="477" spans="1:3">
      <c r="A477" s="3" t="s">
        <v>986</v>
      </c>
      <c r="B477" s="7" t="s">
        <v>9</v>
      </c>
    </row>
    <row r="478" spans="1:3">
      <c r="A478" s="3">
        <v>1</v>
      </c>
      <c r="B478" s="7" t="s">
        <v>1219</v>
      </c>
    </row>
    <row r="479" spans="1:3">
      <c r="A479" s="3">
        <v>2</v>
      </c>
      <c r="B479" s="7" t="s">
        <v>1220</v>
      </c>
    </row>
    <row r="480" spans="1:3">
      <c r="A480" s="3">
        <v>3</v>
      </c>
      <c r="B480" s="7" t="s">
        <v>1221</v>
      </c>
    </row>
    <row r="481" spans="1:3">
      <c r="A481" s="3">
        <v>4</v>
      </c>
      <c r="B481" s="7" t="s">
        <v>1222</v>
      </c>
    </row>
    <row r="482" spans="1:3">
      <c r="A482" s="3">
        <v>9</v>
      </c>
      <c r="B482" s="7" t="s">
        <v>1031</v>
      </c>
    </row>
    <row r="484" spans="1:3">
      <c r="A484" s="25" t="s">
        <v>825</v>
      </c>
      <c r="C484" s="8" t="s">
        <v>824</v>
      </c>
    </row>
    <row r="485" spans="1:3">
      <c r="A485" s="3" t="s">
        <v>986</v>
      </c>
      <c r="B485" s="7" t="s">
        <v>9</v>
      </c>
    </row>
    <row r="486" spans="1:3">
      <c r="A486" s="3">
        <v>1</v>
      </c>
      <c r="B486" s="7" t="s">
        <v>1223</v>
      </c>
    </row>
    <row r="487" spans="1:3">
      <c r="A487" s="11">
        <v>2</v>
      </c>
      <c r="B487" s="12" t="s">
        <v>1224</v>
      </c>
    </row>
    <row r="488" spans="1:3">
      <c r="A488" s="11">
        <v>3</v>
      </c>
      <c r="B488" s="12" t="s">
        <v>1225</v>
      </c>
    </row>
    <row r="489" spans="1:3">
      <c r="A489" s="11">
        <v>4</v>
      </c>
      <c r="B489" s="12" t="s">
        <v>1226</v>
      </c>
    </row>
    <row r="490" spans="1:3">
      <c r="A490" s="11">
        <v>9</v>
      </c>
      <c r="B490" s="12" t="s">
        <v>1031</v>
      </c>
    </row>
    <row r="491" spans="1:3">
      <c r="A491" s="11"/>
      <c r="B491" s="12"/>
    </row>
    <row r="492" spans="1:3">
      <c r="A492" s="25" t="s">
        <v>828</v>
      </c>
      <c r="C492" s="8" t="s">
        <v>827</v>
      </c>
    </row>
    <row r="493" spans="1:3">
      <c r="A493" s="3" t="s">
        <v>986</v>
      </c>
      <c r="B493" s="7" t="s">
        <v>9</v>
      </c>
    </row>
    <row r="494" spans="1:3">
      <c r="A494" s="2">
        <v>1</v>
      </c>
      <c r="B494" s="7" t="s">
        <v>1224</v>
      </c>
    </row>
    <row r="495" spans="1:3">
      <c r="A495" s="11">
        <v>2</v>
      </c>
      <c r="B495" s="12" t="s">
        <v>1227</v>
      </c>
    </row>
    <row r="496" spans="1:3">
      <c r="A496" s="11">
        <v>3</v>
      </c>
      <c r="B496" s="12" t="s">
        <v>1228</v>
      </c>
    </row>
    <row r="497" spans="1:3">
      <c r="A497" s="11">
        <v>9</v>
      </c>
      <c r="B497" s="12" t="s">
        <v>1031</v>
      </c>
    </row>
    <row r="498" spans="1:3">
      <c r="A498" s="10"/>
      <c r="B498" s="12"/>
    </row>
    <row r="499" spans="1:3">
      <c r="A499" s="25" t="s">
        <v>831</v>
      </c>
      <c r="C499" s="8" t="s">
        <v>830</v>
      </c>
    </row>
    <row r="500" spans="1:3">
      <c r="A500" s="3" t="s">
        <v>986</v>
      </c>
      <c r="B500" s="7" t="s">
        <v>9</v>
      </c>
    </row>
    <row r="501" spans="1:3">
      <c r="A501" s="11">
        <v>1</v>
      </c>
      <c r="B501" s="12" t="s">
        <v>1029</v>
      </c>
    </row>
    <row r="502" spans="1:3">
      <c r="A502" s="11">
        <v>2</v>
      </c>
      <c r="B502" s="12" t="s">
        <v>1229</v>
      </c>
    </row>
    <row r="503" spans="1:3">
      <c r="A503" s="11">
        <v>3</v>
      </c>
      <c r="B503" s="12" t="s">
        <v>1141</v>
      </c>
    </row>
    <row r="504" spans="1:3">
      <c r="A504" s="11">
        <v>9</v>
      </c>
      <c r="B504" s="12" t="s">
        <v>1031</v>
      </c>
    </row>
    <row r="505" spans="1:3">
      <c r="A505" s="10"/>
      <c r="B505" s="12"/>
    </row>
    <row r="506" spans="1:3">
      <c r="A506" s="25" t="s">
        <v>834</v>
      </c>
      <c r="C506" s="8" t="s">
        <v>833</v>
      </c>
    </row>
    <row r="507" spans="1:3">
      <c r="A507" s="3" t="s">
        <v>986</v>
      </c>
      <c r="B507" s="7" t="s">
        <v>9</v>
      </c>
    </row>
    <row r="508" spans="1:3">
      <c r="A508" s="11">
        <v>1</v>
      </c>
      <c r="B508" s="12" t="s">
        <v>1230</v>
      </c>
    </row>
    <row r="509" spans="1:3">
      <c r="A509" s="11">
        <v>2</v>
      </c>
      <c r="B509" s="12" t="s">
        <v>1231</v>
      </c>
    </row>
    <row r="510" spans="1:3">
      <c r="A510" s="11">
        <v>9</v>
      </c>
      <c r="B510" s="12" t="s">
        <v>1031</v>
      </c>
    </row>
    <row r="512" spans="1:3">
      <c r="A512" s="6" t="s">
        <v>837</v>
      </c>
      <c r="C512" s="8" t="s">
        <v>836</v>
      </c>
    </row>
    <row r="513" spans="1:3">
      <c r="A513" s="3" t="s">
        <v>986</v>
      </c>
      <c r="B513" s="7" t="s">
        <v>9</v>
      </c>
    </row>
    <row r="514" spans="1:3">
      <c r="A514" s="24" t="s">
        <v>987</v>
      </c>
      <c r="B514" s="12" t="s">
        <v>1232</v>
      </c>
    </row>
    <row r="515" spans="1:3">
      <c r="A515" s="24" t="s">
        <v>989</v>
      </c>
      <c r="B515" s="12" t="s">
        <v>1233</v>
      </c>
    </row>
    <row r="516" spans="1:3">
      <c r="A516" s="24" t="s">
        <v>991</v>
      </c>
      <c r="B516" s="12" t="s">
        <v>1234</v>
      </c>
    </row>
    <row r="517" spans="1:3">
      <c r="A517" s="24" t="s">
        <v>993</v>
      </c>
      <c r="B517" s="12" t="s">
        <v>1235</v>
      </c>
    </row>
    <row r="518" spans="1:3">
      <c r="A518" s="24" t="s">
        <v>995</v>
      </c>
      <c r="B518" s="12" t="s">
        <v>1236</v>
      </c>
    </row>
    <row r="519" spans="1:3">
      <c r="A519" s="24" t="s">
        <v>997</v>
      </c>
      <c r="B519" s="12" t="s">
        <v>1237</v>
      </c>
    </row>
    <row r="520" spans="1:3">
      <c r="A520" s="24" t="s">
        <v>999</v>
      </c>
      <c r="B520" s="12" t="s">
        <v>1238</v>
      </c>
    </row>
    <row r="521" spans="1:3">
      <c r="A521" s="24" t="s">
        <v>1001</v>
      </c>
      <c r="B521" s="12" t="s">
        <v>1239</v>
      </c>
    </row>
    <row r="522" spans="1:3">
      <c r="A522" s="24" t="s">
        <v>1003</v>
      </c>
      <c r="B522" s="12" t="s">
        <v>1240</v>
      </c>
    </row>
    <row r="523" spans="1:3">
      <c r="A523" s="11">
        <v>99</v>
      </c>
      <c r="B523" s="12" t="s">
        <v>1031</v>
      </c>
    </row>
    <row r="525" spans="1:3">
      <c r="A525" s="6" t="s">
        <v>937</v>
      </c>
      <c r="C525" s="8" t="s">
        <v>936</v>
      </c>
    </row>
    <row r="526" spans="1:3">
      <c r="A526" s="3" t="s">
        <v>986</v>
      </c>
      <c r="B526" s="7" t="s">
        <v>9</v>
      </c>
    </row>
    <row r="527" spans="1:3">
      <c r="A527" s="24" t="s">
        <v>987</v>
      </c>
      <c r="B527" s="12" t="s">
        <v>1232</v>
      </c>
    </row>
    <row r="528" spans="1:3">
      <c r="A528" s="24" t="s">
        <v>989</v>
      </c>
      <c r="B528" s="12" t="s">
        <v>1241</v>
      </c>
    </row>
    <row r="529" spans="1:3">
      <c r="A529" s="24" t="s">
        <v>991</v>
      </c>
      <c r="B529" s="12" t="s">
        <v>1242</v>
      </c>
    </row>
    <row r="530" spans="1:3">
      <c r="A530" s="24" t="s">
        <v>993</v>
      </c>
      <c r="B530" s="12" t="s">
        <v>1243</v>
      </c>
    </row>
    <row r="531" spans="1:3">
      <c r="A531" s="24" t="s">
        <v>995</v>
      </c>
      <c r="B531" s="12" t="s">
        <v>1244</v>
      </c>
    </row>
    <row r="532" spans="1:3">
      <c r="A532" s="24" t="s">
        <v>997</v>
      </c>
      <c r="B532" s="12" t="s">
        <v>1237</v>
      </c>
    </row>
    <row r="533" spans="1:3">
      <c r="A533" s="24" t="s">
        <v>999</v>
      </c>
      <c r="B533" s="7" t="s">
        <v>1238</v>
      </c>
    </row>
    <row r="534" spans="1:3">
      <c r="A534" s="24" t="s">
        <v>1001</v>
      </c>
      <c r="B534" s="7" t="s">
        <v>1245</v>
      </c>
    </row>
    <row r="535" spans="1:3">
      <c r="A535" s="24" t="s">
        <v>1003</v>
      </c>
      <c r="B535" s="7" t="s">
        <v>1246</v>
      </c>
    </row>
    <row r="536" spans="1:3">
      <c r="A536" s="3">
        <v>99</v>
      </c>
      <c r="B536" s="7" t="s">
        <v>1031</v>
      </c>
    </row>
    <row r="538" spans="1:3">
      <c r="A538" s="6" t="s">
        <v>940</v>
      </c>
      <c r="B538" s="3"/>
      <c r="C538" s="8" t="s">
        <v>939</v>
      </c>
    </row>
    <row r="539" spans="1:3">
      <c r="A539" s="3" t="s">
        <v>986</v>
      </c>
      <c r="B539" s="7" t="s">
        <v>9</v>
      </c>
    </row>
    <row r="540" spans="1:3">
      <c r="A540" s="34">
        <v>1</v>
      </c>
      <c r="B540" s="34" t="s">
        <v>1247</v>
      </c>
    </row>
    <row r="541" spans="1:3">
      <c r="A541" s="34">
        <v>2</v>
      </c>
      <c r="B541" s="34" t="s">
        <v>1248</v>
      </c>
    </row>
    <row r="542" spans="1:3">
      <c r="A542" s="34">
        <v>3</v>
      </c>
      <c r="B542" s="34" t="s">
        <v>1249</v>
      </c>
    </row>
    <row r="543" spans="1:3">
      <c r="A543" s="34">
        <v>4</v>
      </c>
      <c r="B543" s="34" t="s">
        <v>1250</v>
      </c>
    </row>
    <row r="544" spans="1:3">
      <c r="A544" s="11">
        <v>9</v>
      </c>
      <c r="B544" s="12" t="s">
        <v>1031</v>
      </c>
    </row>
    <row r="545" spans="1:3">
      <c r="A545" s="29"/>
      <c r="B545" s="3"/>
    </row>
    <row r="546" spans="1:3">
      <c r="A546" s="6" t="s">
        <v>944</v>
      </c>
      <c r="B546" s="3"/>
      <c r="C546" s="8" t="s">
        <v>943</v>
      </c>
    </row>
    <row r="547" spans="1:3">
      <c r="A547" s="3" t="s">
        <v>986</v>
      </c>
      <c r="B547" s="7" t="s">
        <v>9</v>
      </c>
    </row>
    <row r="548" spans="1:3">
      <c r="A548" s="34">
        <v>1</v>
      </c>
      <c r="B548" s="34" t="s">
        <v>1137</v>
      </c>
    </row>
    <row r="549" spans="1:3">
      <c r="A549" s="34">
        <v>2</v>
      </c>
      <c r="B549" s="34" t="s">
        <v>1251</v>
      </c>
    </row>
    <row r="550" spans="1:3">
      <c r="A550" s="34">
        <v>3</v>
      </c>
      <c r="B550" s="34" t="s">
        <v>1252</v>
      </c>
    </row>
    <row r="551" spans="1:3">
      <c r="A551" s="34">
        <v>4</v>
      </c>
      <c r="B551" s="34" t="s">
        <v>1253</v>
      </c>
    </row>
    <row r="552" spans="1:3">
      <c r="A552" s="34">
        <v>5</v>
      </c>
      <c r="B552" s="34" t="s">
        <v>1133</v>
      </c>
    </row>
    <row r="553" spans="1:3">
      <c r="A553" s="11">
        <v>9</v>
      </c>
      <c r="B553" s="12" t="s">
        <v>1031</v>
      </c>
    </row>
    <row r="554" spans="1:3">
      <c r="A554" s="29"/>
      <c r="B554" s="3"/>
    </row>
    <row r="555" spans="1:3">
      <c r="A555" s="6" t="s">
        <v>947</v>
      </c>
      <c r="B555" s="3"/>
      <c r="C555" s="8" t="s">
        <v>946</v>
      </c>
    </row>
    <row r="556" spans="1:3">
      <c r="A556" s="3" t="s">
        <v>986</v>
      </c>
      <c r="B556" s="7" t="s">
        <v>9</v>
      </c>
    </row>
    <row r="557" spans="1:3">
      <c r="A557" s="34">
        <v>1</v>
      </c>
      <c r="B557" s="34" t="s">
        <v>1254</v>
      </c>
    </row>
    <row r="558" spans="1:3">
      <c r="A558" s="34">
        <v>2</v>
      </c>
      <c r="B558" s="34" t="s">
        <v>1255</v>
      </c>
    </row>
    <row r="559" spans="1:3">
      <c r="A559" s="34">
        <v>3</v>
      </c>
      <c r="B559" s="34" t="s">
        <v>1256</v>
      </c>
    </row>
    <row r="560" spans="1:3">
      <c r="A560" s="34">
        <v>4</v>
      </c>
      <c r="B560" s="34" t="s">
        <v>1257</v>
      </c>
    </row>
    <row r="561" spans="1:3">
      <c r="A561" s="34">
        <v>5</v>
      </c>
      <c r="B561" s="34" t="s">
        <v>1258</v>
      </c>
    </row>
    <row r="562" spans="1:3">
      <c r="A562" s="11">
        <v>9</v>
      </c>
      <c r="B562" s="12" t="s">
        <v>1031</v>
      </c>
    </row>
    <row r="563" spans="1:3">
      <c r="A563" s="11"/>
      <c r="B563" s="12"/>
    </row>
    <row r="564" spans="1:3">
      <c r="A564" s="6" t="s">
        <v>953</v>
      </c>
      <c r="C564" s="8" t="s">
        <v>952</v>
      </c>
    </row>
    <row r="565" spans="1:3">
      <c r="A565" s="3" t="s">
        <v>986</v>
      </c>
      <c r="B565" s="7" t="s">
        <v>9</v>
      </c>
    </row>
    <row r="566" spans="1:3">
      <c r="A566" s="3">
        <v>1</v>
      </c>
      <c r="B566" s="7" t="s">
        <v>1259</v>
      </c>
    </row>
    <row r="567" spans="1:3">
      <c r="A567" s="3">
        <v>2</v>
      </c>
      <c r="B567" s="7" t="s">
        <v>1260</v>
      </c>
    </row>
    <row r="568" spans="1:3">
      <c r="A568" s="3">
        <v>9</v>
      </c>
      <c r="B568" s="7" t="s">
        <v>1031</v>
      </c>
    </row>
    <row r="569" spans="1:3">
      <c r="A569" s="11"/>
      <c r="B569" s="12"/>
    </row>
    <row r="570" spans="1:3">
      <c r="A570" s="6" t="s">
        <v>956</v>
      </c>
      <c r="C570" s="8" t="s">
        <v>955</v>
      </c>
    </row>
    <row r="571" spans="1:3">
      <c r="A571" s="3" t="s">
        <v>986</v>
      </c>
      <c r="B571" s="7" t="s">
        <v>9</v>
      </c>
    </row>
    <row r="572" spans="1:3">
      <c r="A572" s="3">
        <v>1</v>
      </c>
      <c r="B572" s="7" t="s">
        <v>1261</v>
      </c>
    </row>
    <row r="573" spans="1:3">
      <c r="A573" s="3">
        <v>2</v>
      </c>
      <c r="B573" s="7" t="s">
        <v>1262</v>
      </c>
    </row>
    <row r="574" spans="1:3">
      <c r="A574" s="3">
        <v>3</v>
      </c>
      <c r="B574" s="7" t="s">
        <v>1263</v>
      </c>
    </row>
    <row r="575" spans="1:3">
      <c r="A575" s="3">
        <v>9</v>
      </c>
      <c r="B575" s="7" t="s">
        <v>1031</v>
      </c>
    </row>
    <row r="577" spans="1:3">
      <c r="A577" s="6" t="s">
        <v>962</v>
      </c>
      <c r="C577" s="39" t="s">
        <v>961</v>
      </c>
    </row>
    <row r="578" spans="1:3">
      <c r="A578" s="3" t="s">
        <v>986</v>
      </c>
      <c r="B578" s="7" t="s">
        <v>9</v>
      </c>
    </row>
    <row r="579" spans="1:3">
      <c r="A579" s="40">
        <v>1</v>
      </c>
      <c r="B579" s="40" t="s">
        <v>1264</v>
      </c>
    </row>
    <row r="580" spans="1:3">
      <c r="A580" s="40">
        <v>2</v>
      </c>
      <c r="B580" s="40" t="s">
        <v>1265</v>
      </c>
    </row>
    <row r="581" spans="1:3">
      <c r="A581" s="40">
        <v>3</v>
      </c>
      <c r="B581" s="40" t="s">
        <v>1266</v>
      </c>
    </row>
    <row r="582" spans="1:3">
      <c r="A582" s="40">
        <v>4</v>
      </c>
      <c r="B582" s="40" t="s">
        <v>1267</v>
      </c>
    </row>
    <row r="583" spans="1:3">
      <c r="A583" s="40">
        <v>5</v>
      </c>
      <c r="B583" s="40" t="s">
        <v>1268</v>
      </c>
    </row>
    <row r="584" spans="1:3">
      <c r="A584" s="40">
        <v>6</v>
      </c>
      <c r="B584" s="40" t="s">
        <v>1269</v>
      </c>
    </row>
    <row r="585" spans="1:3">
      <c r="A585" s="40">
        <v>9</v>
      </c>
      <c r="B585" s="40" t="s">
        <v>1031</v>
      </c>
    </row>
    <row r="587" spans="1:3">
      <c r="A587" s="6" t="s">
        <v>965</v>
      </c>
      <c r="C587" s="8" t="s">
        <v>964</v>
      </c>
    </row>
    <row r="588" spans="1:3">
      <c r="A588" s="3" t="s">
        <v>986</v>
      </c>
      <c r="B588" s="7" t="s">
        <v>9</v>
      </c>
    </row>
    <row r="589" spans="1:3">
      <c r="A589" s="32">
        <v>1</v>
      </c>
      <c r="B589" s="31" t="s">
        <v>1270</v>
      </c>
    </row>
    <row r="590" spans="1:3">
      <c r="A590" s="32">
        <v>2</v>
      </c>
      <c r="B590" s="31" t="s">
        <v>1271</v>
      </c>
    </row>
    <row r="591" spans="1:3">
      <c r="A591" s="3">
        <v>3</v>
      </c>
      <c r="B591" s="7" t="s">
        <v>1272</v>
      </c>
    </row>
    <row r="592" spans="1:3">
      <c r="A592" s="32">
        <v>4</v>
      </c>
      <c r="B592" s="7" t="s">
        <v>1273</v>
      </c>
    </row>
    <row r="593" spans="1:3">
      <c r="A593" s="32">
        <v>9</v>
      </c>
      <c r="B593" s="7" t="s">
        <v>1274</v>
      </c>
    </row>
    <row r="594" spans="1:3">
      <c r="A594" s="32"/>
    </row>
    <row r="595" spans="1:3">
      <c r="A595" s="41" t="s">
        <v>977</v>
      </c>
      <c r="B595" s="42"/>
      <c r="C595" s="8" t="s">
        <v>976</v>
      </c>
    </row>
    <row r="596" spans="1:3">
      <c r="A596" s="3" t="s">
        <v>986</v>
      </c>
      <c r="B596" s="7" t="s">
        <v>9</v>
      </c>
    </row>
    <row r="597" spans="1:3">
      <c r="A597" s="32">
        <v>1</v>
      </c>
      <c r="B597" s="3" t="s">
        <v>1247</v>
      </c>
    </row>
    <row r="598" spans="1:3">
      <c r="A598" s="32">
        <v>2</v>
      </c>
      <c r="B598" s="22" t="s">
        <v>1129</v>
      </c>
    </row>
    <row r="599" spans="1:3">
      <c r="A599" s="32">
        <v>3</v>
      </c>
      <c r="B599" s="22" t="s">
        <v>1275</v>
      </c>
    </row>
    <row r="600" spans="1:3">
      <c r="A600" s="32">
        <v>4</v>
      </c>
      <c r="B600" s="22" t="s">
        <v>1276</v>
      </c>
    </row>
    <row r="601" spans="1:3">
      <c r="A601" s="32">
        <v>5</v>
      </c>
      <c r="B601" s="22" t="s">
        <v>1277</v>
      </c>
    </row>
    <row r="602" spans="1:3">
      <c r="A602" s="32">
        <v>9</v>
      </c>
      <c r="B602" s="22" t="s">
        <v>1274</v>
      </c>
    </row>
    <row r="604" spans="1:3">
      <c r="A604" s="41" t="s">
        <v>980</v>
      </c>
      <c r="C604" s="8" t="s">
        <v>979</v>
      </c>
    </row>
    <row r="605" spans="1:3">
      <c r="A605" s="3" t="s">
        <v>986</v>
      </c>
      <c r="B605" s="7" t="s">
        <v>9</v>
      </c>
    </row>
    <row r="606" spans="1:3">
      <c r="A606" s="32">
        <v>1</v>
      </c>
      <c r="B606" s="32" t="s">
        <v>1278</v>
      </c>
    </row>
    <row r="607" spans="1:3">
      <c r="A607" s="3">
        <v>2</v>
      </c>
      <c r="B607" s="22" t="s">
        <v>1279</v>
      </c>
    </row>
    <row r="608" spans="1:3">
      <c r="A608" s="3">
        <v>3</v>
      </c>
      <c r="B608" s="22" t="s">
        <v>1280</v>
      </c>
    </row>
    <row r="609" spans="1:2">
      <c r="A609" s="32">
        <v>9</v>
      </c>
      <c r="B609" s="22" t="s">
        <v>1274</v>
      </c>
    </row>
  </sheetData>
  <hyperlinks>
    <hyperlink ref="C5" location="'Diseño'!$B$3" display="CCAA"/>
    <hyperlink ref="C27" location="'Diseño'!$B$6" display="SEXOa *** (1 veces más)"/>
    <hyperlink ref="C32" location="'Diseño'!$B$26" display="B2 *** (215 veces más)"/>
    <hyperlink ref="C38" location="'Diseño'!$B$9" display="PROXY_1"/>
    <hyperlink ref="C44" location="'Diseño'!$B$14" display="PROXY_6"/>
    <hyperlink ref="C55" location="'Diseño'!$B$15" display="A1a *** (2 veces más)"/>
    <hyperlink ref="C61" location="'Diseño'!$B$8" display="PROXY_0 *** (8 veces más)"/>
    <hyperlink ref="C66" location="'Diseño'!$B$22" display="A4"/>
    <hyperlink ref="C73" location="'Diseño'!$B$23" display="A5"/>
    <hyperlink ref="C82" location="'Diseño'!$B$24" display="NIVEST"/>
    <hyperlink ref="C95" location="'Diseño'!$B$25" display="B1"/>
    <hyperlink ref="C103" location="'Diseño'!$B$29" display="B5"/>
    <hyperlink ref="C113" location="'Diseño'!$B$30" display="B6"/>
    <hyperlink ref="C122" location="'Diseño'!$B$32" display="B8"/>
    <hyperlink ref="C135" location="'Diseño'!$B$33" display="B9a"/>
    <hyperlink ref="C144" location="'Diseño'!$B$34" display="B9b"/>
    <hyperlink ref="C153" location="'Diseño'!$B$35" display="B10"/>
    <hyperlink ref="C162" location="'Diseño'!$B$36" display="B11"/>
    <hyperlink ref="C168" location="'Diseño'!$B$37" display="B12"/>
    <hyperlink ref="C180" location="'Diseño'!$B$42" display="B15"/>
    <hyperlink ref="C190" location="'Diseño'!$B$43" display="C1"/>
    <hyperlink ref="C198" location="'Diseño'!$B$45" display="C3a"/>
    <hyperlink ref="C205" location="'Diseño'!$B$46" display="C3b"/>
    <hyperlink ref="C212" location="'Diseño'!$B$47" display="C4"/>
    <hyperlink ref="C221" location="'Diseño'!$B$152" display="D2"/>
    <hyperlink ref="C229" location="'Diseño'!$B$155" display="F1"/>
    <hyperlink ref="C236" location="'Diseño'!$B$156" display="F2"/>
    <hyperlink ref="C244" location="'Diseño'!$B$157" display="F3"/>
    <hyperlink ref="C251" location="'Diseño'!$B$158" display="F4 *** (12 veces más)"/>
    <hyperlink ref="C261" location="'Diseño'!$B$164" display="G1_1 *** (4 veces más)"/>
    <hyperlink ref="C269" location="'Diseño'!$B$169" display="G2 *** (3 veces más)"/>
    <hyperlink ref="C275" location="'Diseño'!$B$180" display="G7"/>
    <hyperlink ref="C285" location="'Diseño'!$B$181" display="G8"/>
    <hyperlink ref="C294" location="'Diseño'!$B$184" display="I1"/>
    <hyperlink ref="C301" location="'Diseño'!$B$186" display="I3"/>
    <hyperlink ref="C309" location="'Diseño'!$B$188" display="I5"/>
    <hyperlink ref="C315" location="'Diseño'!$B$189" display="I6"/>
    <hyperlink ref="C330" location="'Diseño'!$B$190" display="I7"/>
    <hyperlink ref="C340" location="'Diseño'!$B$191" display="I8"/>
    <hyperlink ref="C348" location="'Diseño'!$B$209" display="I14"/>
    <hyperlink ref="C356" location="'Diseño'!$B$221" display="I16"/>
    <hyperlink ref="C364" location="'Diseño'!$B$234" display="J5"/>
    <hyperlink ref="C373" location="'Diseño'!$B$235" display="J6"/>
    <hyperlink ref="C382" location="'Diseño'!$B$248" display="J14"/>
    <hyperlink ref="C392" location="'Diseño'!$B$306" display="L5"/>
    <hyperlink ref="C401" location="'Diseño'!$B$308" display="L7"/>
    <hyperlink ref="C409" location="'Diseño'!$B$314" display="L13"/>
    <hyperlink ref="C417" location="'Diseño'!$B$316" display="L15"/>
    <hyperlink ref="C426" location="'Diseño'!$B$321" display="M1 *** (1 veces más)"/>
    <hyperlink ref="C433" location="'Diseño'!$B$323" display="M3_1 *** (3 veces más)"/>
    <hyperlink ref="C440" location="'Diseño'!$B$329" display="O1"/>
    <hyperlink ref="C449" location="'Diseño'!$B$330" display="O2"/>
    <hyperlink ref="C466" location="'Diseño'!$B$341" display="P1_1 *** (14 veces más)"/>
    <hyperlink ref="C476" location="'Diseño'!$B$361" display="Q1"/>
    <hyperlink ref="C484" location="'Diseño'!$B$366" display="Q6"/>
    <hyperlink ref="C492" location="'Diseño'!$B$367" display="Q6a"/>
    <hyperlink ref="C499" location="'Diseño'!$B$368" display="Q7"/>
    <hyperlink ref="C506" location="'Diseño'!$B$369" display="Q8"/>
    <hyperlink ref="C512" location="'Diseño'!$B$370" display="R1"/>
    <hyperlink ref="C525" location="'Diseño'!$B$419" display="R3"/>
    <hyperlink ref="C538" location="'Diseño'!$B$420" display="S1"/>
    <hyperlink ref="C546" location="'Diseño'!$B$421" display="S2"/>
    <hyperlink ref="C555" location="'Diseño'!$B$422" display="S3"/>
    <hyperlink ref="C564" location="'Diseño'!$B$424" display="T2"/>
    <hyperlink ref="C570" location="'Diseño'!$B$425" display="T3"/>
    <hyperlink ref="C577" location="'Diseño'!$B$427" display="CLASE_PR"/>
    <hyperlink ref="C587" location="'Diseño'!$B$428" display="IMC"/>
    <hyperlink ref="C595" location="'Diseño'!$B$433" display="SEVERIDAD_DEPRESIVA"/>
    <hyperlink ref="C604" location="'Diseño'!$B$434" display="CUADROS_DEPRESIVOS"/>
    <hyperlink ref="C457" location="'Diseño'!$B$332" display="O4 *** (1 veces más)"/>
  </hyperlinks>
  <pageMargins left="0.75" right="0.75" top="1" bottom="1" header="0" footer="0"/>
  <pageSetup paperSize="9" scale="55" fitToHeight="0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E177"/>
  <sheetViews>
    <sheetView workbookViewId="0">
      <selection activeCell="A1" sqref="A1"/>
    </sheetView>
  </sheetViews>
  <sheetFormatPr defaultColWidth="9.14285714285714" defaultRowHeight="12.75" outlineLevelCol="4"/>
  <cols>
    <col min="1" max="1" width="9.14285714285714" style="17" customWidth="1"/>
    <col min="2" max="2" width="75.2857142857143" style="17" customWidth="1"/>
    <col min="3" max="3" width="25.7142857142857" style="17" customWidth="1"/>
    <col min="4" max="4" width="9.14285714285714" style="17"/>
    <col min="5" max="5" width="12.7142857142857" style="17" customWidth="1"/>
    <col min="6" max="16384" width="9.14285714285714" style="17"/>
  </cols>
  <sheetData>
    <row r="4" spans="1:5">
      <c r="C4" s="18" t="s">
        <v>984</v>
      </c>
      <c r="E4" s="19" t="s">
        <v>985</v>
      </c>
    </row>
    <row r="5" spans="1:5">
      <c r="A5" s="20" t="s">
        <v>87</v>
      </c>
      <c r="C5" s="8" t="s">
        <v>1281</v>
      </c>
    </row>
    <row r="6" spans="1:5">
      <c r="A6" s="3" t="s">
        <v>986</v>
      </c>
      <c r="B6" s="7" t="s">
        <v>9</v>
      </c>
    </row>
    <row r="7" spans="1:5">
      <c r="A7" s="21" t="s">
        <v>1282</v>
      </c>
      <c r="B7" s="17" t="s">
        <v>1283</v>
      </c>
    </row>
    <row r="8" spans="1:5">
      <c r="A8" s="21" t="s">
        <v>1284</v>
      </c>
      <c r="B8" s="17" t="s">
        <v>1285</v>
      </c>
    </row>
    <row r="9" spans="1:5">
      <c r="A9" s="21" t="s">
        <v>1286</v>
      </c>
      <c r="B9" s="17" t="s">
        <v>1287</v>
      </c>
    </row>
    <row r="10" spans="1:5">
      <c r="A10" s="21" t="s">
        <v>1288</v>
      </c>
      <c r="B10" s="17" t="s">
        <v>1289</v>
      </c>
    </row>
    <row r="11" spans="1:5">
      <c r="A11" s="21" t="s">
        <v>1290</v>
      </c>
      <c r="B11" s="17" t="s">
        <v>1291</v>
      </c>
    </row>
    <row r="12" spans="1:5">
      <c r="A12" s="21" t="s">
        <v>1292</v>
      </c>
      <c r="B12" s="17" t="s">
        <v>1293</v>
      </c>
    </row>
    <row r="13" spans="1:5">
      <c r="A13" s="21" t="s">
        <v>1294</v>
      </c>
      <c r="B13" s="17" t="s">
        <v>1295</v>
      </c>
    </row>
    <row r="14" spans="1:5">
      <c r="A14" s="21" t="s">
        <v>1296</v>
      </c>
      <c r="B14" s="17" t="s">
        <v>1297</v>
      </c>
    </row>
    <row r="15" spans="1:5">
      <c r="A15" s="21" t="s">
        <v>1298</v>
      </c>
      <c r="B15" s="17" t="s">
        <v>1299</v>
      </c>
    </row>
    <row r="16" spans="1:5">
      <c r="A16" s="21" t="s">
        <v>1300</v>
      </c>
      <c r="B16" s="17" t="s">
        <v>1301</v>
      </c>
    </row>
    <row r="17" spans="1:2">
      <c r="A17" s="21" t="s">
        <v>1302</v>
      </c>
      <c r="B17" s="17" t="s">
        <v>1303</v>
      </c>
    </row>
    <row r="18" spans="1:2">
      <c r="A18" s="21" t="s">
        <v>1304</v>
      </c>
      <c r="B18" s="17" t="s">
        <v>1305</v>
      </c>
    </row>
    <row r="19" spans="1:2">
      <c r="A19" s="21" t="s">
        <v>1306</v>
      </c>
      <c r="B19" s="17" t="s">
        <v>1307</v>
      </c>
    </row>
    <row r="20" spans="1:2">
      <c r="A20" s="21" t="s">
        <v>1308</v>
      </c>
      <c r="B20" s="17" t="s">
        <v>1309</v>
      </c>
    </row>
    <row r="21" spans="1:2">
      <c r="A21" s="21" t="s">
        <v>1310</v>
      </c>
      <c r="B21" s="17" t="s">
        <v>1311</v>
      </c>
    </row>
    <row r="22" spans="1:2">
      <c r="A22" s="21" t="s">
        <v>1312</v>
      </c>
      <c r="B22" s="17" t="s">
        <v>1313</v>
      </c>
    </row>
    <row r="23" spans="1:2">
      <c r="A23" s="21" t="s">
        <v>1314</v>
      </c>
      <c r="B23" s="17" t="s">
        <v>1315</v>
      </c>
    </row>
    <row r="24" spans="1:2">
      <c r="A24" s="21" t="s">
        <v>1316</v>
      </c>
      <c r="B24" s="17" t="s">
        <v>1317</v>
      </c>
    </row>
    <row r="25" spans="1:2">
      <c r="A25" s="21" t="s">
        <v>1318</v>
      </c>
      <c r="B25" s="17" t="s">
        <v>1319</v>
      </c>
    </row>
    <row r="26" spans="1:2">
      <c r="A26" s="21" t="s">
        <v>1320</v>
      </c>
      <c r="B26" s="17" t="s">
        <v>1321</v>
      </c>
    </row>
    <row r="27" spans="1:2">
      <c r="A27" s="21" t="s">
        <v>1322</v>
      </c>
      <c r="B27" s="17" t="s">
        <v>1323</v>
      </c>
    </row>
    <row r="28" spans="1:2">
      <c r="A28" s="21" t="s">
        <v>1324</v>
      </c>
      <c r="B28" s="17" t="s">
        <v>1325</v>
      </c>
    </row>
    <row r="29" spans="1:2">
      <c r="A29" s="21" t="s">
        <v>1326</v>
      </c>
      <c r="B29" s="17" t="s">
        <v>1327</v>
      </c>
    </row>
    <row r="30" spans="1:2">
      <c r="A30" s="21" t="s">
        <v>1328</v>
      </c>
      <c r="B30" s="17" t="s">
        <v>1329</v>
      </c>
    </row>
    <row r="31" spans="1:2">
      <c r="A31" s="21" t="s">
        <v>1330</v>
      </c>
      <c r="B31" s="17" t="s">
        <v>1331</v>
      </c>
    </row>
    <row r="32" spans="1:2">
      <c r="A32" s="21" t="s">
        <v>1332</v>
      </c>
      <c r="B32" s="17" t="s">
        <v>1333</v>
      </c>
    </row>
    <row r="33" spans="1:2">
      <c r="A33" s="21" t="s">
        <v>1334</v>
      </c>
      <c r="B33" s="17" t="s">
        <v>1335</v>
      </c>
    </row>
    <row r="34" spans="1:2">
      <c r="A34" s="21" t="s">
        <v>1336</v>
      </c>
      <c r="B34" s="17" t="s">
        <v>1337</v>
      </c>
    </row>
    <row r="35" spans="1:2">
      <c r="A35" s="21" t="s">
        <v>1338</v>
      </c>
      <c r="B35" s="17" t="s">
        <v>1339</v>
      </c>
    </row>
    <row r="36" spans="1:2">
      <c r="A36" s="21" t="s">
        <v>1340</v>
      </c>
      <c r="B36" s="17" t="s">
        <v>1341</v>
      </c>
    </row>
    <row r="37" spans="1:2">
      <c r="A37" s="21" t="s">
        <v>1342</v>
      </c>
      <c r="B37" s="17" t="s">
        <v>1343</v>
      </c>
    </row>
    <row r="38" spans="1:2">
      <c r="A38" s="21" t="s">
        <v>1344</v>
      </c>
      <c r="B38" s="17" t="s">
        <v>1345</v>
      </c>
    </row>
    <row r="39" spans="1:2">
      <c r="A39" s="21" t="s">
        <v>1346</v>
      </c>
      <c r="B39" s="17" t="s">
        <v>1347</v>
      </c>
    </row>
    <row r="40" spans="1:2">
      <c r="A40" s="21" t="s">
        <v>1348</v>
      </c>
      <c r="B40" s="17" t="s">
        <v>1349</v>
      </c>
    </row>
    <row r="41" spans="1:2">
      <c r="A41" s="21" t="s">
        <v>1350</v>
      </c>
      <c r="B41" s="17" t="s">
        <v>1351</v>
      </c>
    </row>
    <row r="42" spans="1:2">
      <c r="A42" s="21" t="s">
        <v>1352</v>
      </c>
      <c r="B42" s="17" t="s">
        <v>1353</v>
      </c>
    </row>
    <row r="43" spans="1:2">
      <c r="A43" s="21" t="s">
        <v>1354</v>
      </c>
      <c r="B43" s="17" t="s">
        <v>1355</v>
      </c>
    </row>
    <row r="44" spans="1:2">
      <c r="A44" s="21" t="s">
        <v>1356</v>
      </c>
      <c r="B44" s="17" t="s">
        <v>1357</v>
      </c>
    </row>
    <row r="45" spans="1:2">
      <c r="A45" s="21" t="s">
        <v>1358</v>
      </c>
      <c r="B45" s="17" t="s">
        <v>1359</v>
      </c>
    </row>
    <row r="46" spans="1:2">
      <c r="A46" s="21" t="s">
        <v>1360</v>
      </c>
      <c r="B46" s="17" t="s">
        <v>1361</v>
      </c>
    </row>
    <row r="47" spans="1:2">
      <c r="A47" s="21" t="s">
        <v>1362</v>
      </c>
      <c r="B47" s="17" t="s">
        <v>1363</v>
      </c>
    </row>
    <row r="48" spans="1:2">
      <c r="A48" s="21" t="s">
        <v>1364</v>
      </c>
      <c r="B48" s="17" t="s">
        <v>1365</v>
      </c>
    </row>
    <row r="49" spans="1:2">
      <c r="A49" s="21" t="s">
        <v>1366</v>
      </c>
      <c r="B49" s="17" t="s">
        <v>1367</v>
      </c>
    </row>
    <row r="50" spans="1:2">
      <c r="A50" s="21" t="s">
        <v>1368</v>
      </c>
      <c r="B50" s="17" t="s">
        <v>1369</v>
      </c>
    </row>
    <row r="51" spans="1:2">
      <c r="A51" s="21" t="s">
        <v>1370</v>
      </c>
      <c r="B51" s="17" t="s">
        <v>1371</v>
      </c>
    </row>
    <row r="52" spans="1:2">
      <c r="A52" s="21" t="s">
        <v>1372</v>
      </c>
      <c r="B52" s="17" t="s">
        <v>1373</v>
      </c>
    </row>
    <row r="53" spans="1:2">
      <c r="A53" s="21" t="s">
        <v>1374</v>
      </c>
      <c r="B53" s="17" t="s">
        <v>1375</v>
      </c>
    </row>
    <row r="54" spans="1:2">
      <c r="A54" s="21" t="s">
        <v>1376</v>
      </c>
      <c r="B54" s="17" t="s">
        <v>1377</v>
      </c>
    </row>
    <row r="55" spans="1:2">
      <c r="A55" s="21" t="s">
        <v>1378</v>
      </c>
      <c r="B55" s="17" t="s">
        <v>1379</v>
      </c>
    </row>
    <row r="56" spans="1:2">
      <c r="A56" s="21" t="s">
        <v>1380</v>
      </c>
      <c r="B56" s="17" t="s">
        <v>1381</v>
      </c>
    </row>
    <row r="57" spans="1:2">
      <c r="A57" s="21" t="s">
        <v>1382</v>
      </c>
      <c r="B57" s="17" t="s">
        <v>1383</v>
      </c>
    </row>
    <row r="58" spans="1:2">
      <c r="A58" s="21" t="s">
        <v>1384</v>
      </c>
      <c r="B58" s="17" t="s">
        <v>1385</v>
      </c>
    </row>
    <row r="59" spans="1:2">
      <c r="A59" s="21" t="s">
        <v>1386</v>
      </c>
      <c r="B59" s="17" t="s">
        <v>1387</v>
      </c>
    </row>
    <row r="60" spans="1:2">
      <c r="A60" s="21" t="s">
        <v>1388</v>
      </c>
      <c r="B60" s="17" t="s">
        <v>1389</v>
      </c>
    </row>
    <row r="61" spans="1:2">
      <c r="A61" s="21" t="s">
        <v>1390</v>
      </c>
      <c r="B61" s="17" t="s">
        <v>1391</v>
      </c>
    </row>
    <row r="62" spans="1:2">
      <c r="A62" s="21" t="s">
        <v>1392</v>
      </c>
      <c r="B62" s="17" t="s">
        <v>1393</v>
      </c>
    </row>
    <row r="63" spans="1:2">
      <c r="A63" s="21" t="s">
        <v>1394</v>
      </c>
      <c r="B63" s="17" t="s">
        <v>1395</v>
      </c>
    </row>
    <row r="64" spans="1:2">
      <c r="A64" s="21" t="s">
        <v>1396</v>
      </c>
      <c r="B64" s="17" t="s">
        <v>1397</v>
      </c>
    </row>
    <row r="65" spans="1:2">
      <c r="A65" s="21" t="s">
        <v>1398</v>
      </c>
      <c r="B65" s="17" t="s">
        <v>1399</v>
      </c>
    </row>
    <row r="66" spans="1:2">
      <c r="A66" s="21" t="s">
        <v>1400</v>
      </c>
      <c r="B66" s="17" t="s">
        <v>1401</v>
      </c>
    </row>
    <row r="67" spans="1:2">
      <c r="A67" s="21" t="s">
        <v>1402</v>
      </c>
      <c r="B67" s="17" t="s">
        <v>1403</v>
      </c>
    </row>
    <row r="68" spans="1:2">
      <c r="A68" s="21" t="s">
        <v>1404</v>
      </c>
      <c r="B68" s="17" t="s">
        <v>1405</v>
      </c>
    </row>
    <row r="69" spans="1:2">
      <c r="A69" s="21" t="s">
        <v>1406</v>
      </c>
      <c r="B69" s="17" t="s">
        <v>1407</v>
      </c>
    </row>
    <row r="70" spans="1:2">
      <c r="A70" s="21" t="s">
        <v>1408</v>
      </c>
      <c r="B70" s="17" t="s">
        <v>1409</v>
      </c>
    </row>
    <row r="71" spans="1:2">
      <c r="A71" s="21" t="s">
        <v>1410</v>
      </c>
      <c r="B71" s="17" t="s">
        <v>1411</v>
      </c>
    </row>
    <row r="72" spans="1:2">
      <c r="A72" s="21" t="s">
        <v>1412</v>
      </c>
      <c r="B72" s="17" t="s">
        <v>1413</v>
      </c>
    </row>
    <row r="73" spans="1:2">
      <c r="A73" s="21" t="s">
        <v>1414</v>
      </c>
      <c r="B73" s="17" t="s">
        <v>1415</v>
      </c>
    </row>
    <row r="74" spans="1:2">
      <c r="A74" s="21" t="s">
        <v>1416</v>
      </c>
      <c r="B74" s="17" t="s">
        <v>1417</v>
      </c>
    </row>
    <row r="75" spans="1:2">
      <c r="A75" s="21" t="s">
        <v>1418</v>
      </c>
      <c r="B75" s="17" t="s">
        <v>1419</v>
      </c>
    </row>
    <row r="76" spans="1:2">
      <c r="A76" s="21" t="s">
        <v>1420</v>
      </c>
      <c r="B76" s="17" t="s">
        <v>1421</v>
      </c>
    </row>
    <row r="77" spans="1:2">
      <c r="A77" s="21" t="s">
        <v>1422</v>
      </c>
      <c r="B77" s="17" t="s">
        <v>1423</v>
      </c>
    </row>
    <row r="78" spans="1:2">
      <c r="A78" s="21" t="s">
        <v>1424</v>
      </c>
      <c r="B78" s="17" t="s">
        <v>1425</v>
      </c>
    </row>
    <row r="79" spans="1:2">
      <c r="A79" s="21" t="s">
        <v>1426</v>
      </c>
      <c r="B79" s="17" t="s">
        <v>1427</v>
      </c>
    </row>
    <row r="80" spans="1:2">
      <c r="A80" s="21" t="s">
        <v>1428</v>
      </c>
      <c r="B80" s="17" t="s">
        <v>1429</v>
      </c>
    </row>
    <row r="81" spans="1:2">
      <c r="A81" s="21" t="s">
        <v>1430</v>
      </c>
      <c r="B81" s="17" t="s">
        <v>1431</v>
      </c>
    </row>
    <row r="82" spans="1:2">
      <c r="A82" s="21" t="s">
        <v>1432</v>
      </c>
      <c r="B82" s="17" t="s">
        <v>1433</v>
      </c>
    </row>
    <row r="83" spans="1:2">
      <c r="A83" s="21" t="s">
        <v>1434</v>
      </c>
      <c r="B83" s="17" t="s">
        <v>1435</v>
      </c>
    </row>
    <row r="84" spans="1:2">
      <c r="A84" s="21" t="s">
        <v>1436</v>
      </c>
      <c r="B84" s="17" t="s">
        <v>1437</v>
      </c>
    </row>
    <row r="85" spans="1:2">
      <c r="A85" s="21" t="s">
        <v>1438</v>
      </c>
      <c r="B85" s="17" t="s">
        <v>1439</v>
      </c>
    </row>
    <row r="86" spans="1:2">
      <c r="A86" s="21" t="s">
        <v>1440</v>
      </c>
      <c r="B86" s="17" t="s">
        <v>1441</v>
      </c>
    </row>
    <row r="87" spans="1:2">
      <c r="A87" s="21" t="s">
        <v>1442</v>
      </c>
      <c r="B87" s="17" t="s">
        <v>1443</v>
      </c>
    </row>
    <row r="88" spans="1:2">
      <c r="A88" s="21" t="s">
        <v>1444</v>
      </c>
      <c r="B88" s="17" t="s">
        <v>1445</v>
      </c>
    </row>
    <row r="89" spans="1:2">
      <c r="A89" s="21" t="s">
        <v>1446</v>
      </c>
      <c r="B89" s="17" t="s">
        <v>1447</v>
      </c>
    </row>
    <row r="90" spans="1:2">
      <c r="A90" s="21" t="s">
        <v>1448</v>
      </c>
      <c r="B90" s="17" t="s">
        <v>1449</v>
      </c>
    </row>
    <row r="91" spans="1:2">
      <c r="A91" s="21" t="s">
        <v>1450</v>
      </c>
      <c r="B91" s="17" t="s">
        <v>1451</v>
      </c>
    </row>
    <row r="92" spans="1:2">
      <c r="A92" s="21" t="s">
        <v>1452</v>
      </c>
      <c r="B92" s="17" t="s">
        <v>1453</v>
      </c>
    </row>
    <row r="93" spans="1:2">
      <c r="A93" s="21" t="s">
        <v>1454</v>
      </c>
      <c r="B93" s="17" t="s">
        <v>1455</v>
      </c>
    </row>
    <row r="94" spans="1:2">
      <c r="A94" s="21" t="s">
        <v>1456</v>
      </c>
      <c r="B94" s="17" t="s">
        <v>1457</v>
      </c>
    </row>
    <row r="95" spans="1:2">
      <c r="A95" s="21" t="s">
        <v>1458</v>
      </c>
      <c r="B95" s="17" t="s">
        <v>1459</v>
      </c>
    </row>
    <row r="96" spans="1:2">
      <c r="A96" s="21" t="s">
        <v>1460</v>
      </c>
      <c r="B96" s="17" t="s">
        <v>1461</v>
      </c>
    </row>
    <row r="97" spans="1:2">
      <c r="A97" s="21" t="s">
        <v>1462</v>
      </c>
      <c r="B97" s="17" t="s">
        <v>1463</v>
      </c>
    </row>
    <row r="98" spans="1:2">
      <c r="A98" s="21" t="s">
        <v>1464</v>
      </c>
      <c r="B98" s="17" t="s">
        <v>1465</v>
      </c>
    </row>
    <row r="99" spans="1:2">
      <c r="A99" s="21" t="s">
        <v>1466</v>
      </c>
      <c r="B99" s="17" t="s">
        <v>1467</v>
      </c>
    </row>
    <row r="100" spans="1:2">
      <c r="A100" s="21" t="s">
        <v>1468</v>
      </c>
      <c r="B100" s="17" t="s">
        <v>1469</v>
      </c>
    </row>
    <row r="101" spans="1:2">
      <c r="A101" s="21" t="s">
        <v>1470</v>
      </c>
      <c r="B101" s="17" t="s">
        <v>1471</v>
      </c>
    </row>
    <row r="102" spans="1:2">
      <c r="A102" s="21" t="s">
        <v>1472</v>
      </c>
      <c r="B102" s="17" t="s">
        <v>1473</v>
      </c>
    </row>
    <row r="103" spans="1:2">
      <c r="A103" s="21" t="s">
        <v>1474</v>
      </c>
      <c r="B103" s="17" t="s">
        <v>1475</v>
      </c>
    </row>
    <row r="104" spans="1:2">
      <c r="A104" s="21" t="s">
        <v>1476</v>
      </c>
      <c r="B104" s="17" t="s">
        <v>1477</v>
      </c>
    </row>
    <row r="105" spans="1:2">
      <c r="A105" s="21" t="s">
        <v>1478</v>
      </c>
      <c r="B105" s="17" t="s">
        <v>1479</v>
      </c>
    </row>
    <row r="106" spans="1:2">
      <c r="A106" s="21" t="s">
        <v>1480</v>
      </c>
      <c r="B106" s="17" t="s">
        <v>1481</v>
      </c>
    </row>
    <row r="107" spans="1:2">
      <c r="A107" s="21" t="s">
        <v>1482</v>
      </c>
      <c r="B107" s="17" t="s">
        <v>1483</v>
      </c>
    </row>
    <row r="108" spans="1:2">
      <c r="A108" s="21" t="s">
        <v>1484</v>
      </c>
      <c r="B108" s="17" t="s">
        <v>1485</v>
      </c>
    </row>
    <row r="109" spans="1:2">
      <c r="A109" s="21" t="s">
        <v>1486</v>
      </c>
      <c r="B109" s="17" t="s">
        <v>1487</v>
      </c>
    </row>
    <row r="110" spans="1:2">
      <c r="A110" s="21" t="s">
        <v>1488</v>
      </c>
      <c r="B110" s="17" t="s">
        <v>1489</v>
      </c>
    </row>
    <row r="111" spans="1:2">
      <c r="A111" s="21" t="s">
        <v>1490</v>
      </c>
      <c r="B111" s="17" t="s">
        <v>1491</v>
      </c>
    </row>
    <row r="112" spans="1:2">
      <c r="A112" s="21" t="s">
        <v>1492</v>
      </c>
      <c r="B112" s="17" t="s">
        <v>1493</v>
      </c>
    </row>
    <row r="113" spans="1:2">
      <c r="A113" s="21" t="s">
        <v>1494</v>
      </c>
      <c r="B113" s="17" t="s">
        <v>1495</v>
      </c>
    </row>
    <row r="114" spans="1:2">
      <c r="A114" s="21" t="s">
        <v>1496</v>
      </c>
      <c r="B114" s="17" t="s">
        <v>1497</v>
      </c>
    </row>
    <row r="115" spans="1:2">
      <c r="A115" s="21" t="s">
        <v>1498</v>
      </c>
      <c r="B115" s="17" t="s">
        <v>1499</v>
      </c>
    </row>
    <row r="116" spans="1:2">
      <c r="A116" s="21" t="s">
        <v>1500</v>
      </c>
      <c r="B116" s="17" t="s">
        <v>1501</v>
      </c>
    </row>
    <row r="117" spans="1:2">
      <c r="A117" s="21" t="s">
        <v>1502</v>
      </c>
      <c r="B117" s="17" t="s">
        <v>1503</v>
      </c>
    </row>
    <row r="118" spans="1:2">
      <c r="A118" s="21" t="s">
        <v>1504</v>
      </c>
      <c r="B118" s="17" t="s">
        <v>1505</v>
      </c>
    </row>
    <row r="119" spans="1:2">
      <c r="A119" s="21" t="s">
        <v>1506</v>
      </c>
      <c r="B119" s="17" t="s">
        <v>1507</v>
      </c>
    </row>
    <row r="120" spans="1:2">
      <c r="A120" s="21" t="s">
        <v>1508</v>
      </c>
      <c r="B120" s="17" t="s">
        <v>1509</v>
      </c>
    </row>
    <row r="121" spans="1:2">
      <c r="A121" s="21" t="s">
        <v>1510</v>
      </c>
      <c r="B121" s="17" t="s">
        <v>1511</v>
      </c>
    </row>
    <row r="122" spans="1:2">
      <c r="A122" s="21" t="s">
        <v>1512</v>
      </c>
      <c r="B122" s="17" t="s">
        <v>1513</v>
      </c>
    </row>
    <row r="123" spans="1:2">
      <c r="A123" s="21" t="s">
        <v>1514</v>
      </c>
      <c r="B123" s="17" t="s">
        <v>1515</v>
      </c>
    </row>
    <row r="124" spans="1:2">
      <c r="A124" s="21" t="s">
        <v>1516</v>
      </c>
      <c r="B124" s="17" t="s">
        <v>1517</v>
      </c>
    </row>
    <row r="125" spans="1:2">
      <c r="A125" s="21" t="s">
        <v>1518</v>
      </c>
      <c r="B125" s="17" t="s">
        <v>1519</v>
      </c>
    </row>
    <row r="126" spans="1:2">
      <c r="A126" s="21" t="s">
        <v>1520</v>
      </c>
      <c r="B126" s="17" t="s">
        <v>1521</v>
      </c>
    </row>
    <row r="127" spans="1:2">
      <c r="A127" s="21" t="s">
        <v>1522</v>
      </c>
      <c r="B127" s="17" t="s">
        <v>1523</v>
      </c>
    </row>
    <row r="128" spans="1:2">
      <c r="A128" s="21" t="s">
        <v>1524</v>
      </c>
      <c r="B128" s="17" t="s">
        <v>1525</v>
      </c>
    </row>
    <row r="129" spans="1:2">
      <c r="A129" s="21" t="s">
        <v>1526</v>
      </c>
      <c r="B129" s="17" t="s">
        <v>1527</v>
      </c>
    </row>
    <row r="130" spans="1:2">
      <c r="A130" s="21" t="s">
        <v>1528</v>
      </c>
      <c r="B130" s="17" t="s">
        <v>1529</v>
      </c>
    </row>
    <row r="131" spans="1:2">
      <c r="A131" s="21" t="s">
        <v>1530</v>
      </c>
      <c r="B131" s="17" t="s">
        <v>1531</v>
      </c>
    </row>
    <row r="132" spans="1:2">
      <c r="A132" s="21" t="s">
        <v>1532</v>
      </c>
      <c r="B132" s="17" t="s">
        <v>1533</v>
      </c>
    </row>
    <row r="133" spans="1:2">
      <c r="A133" s="21" t="s">
        <v>1534</v>
      </c>
      <c r="B133" s="17" t="s">
        <v>1535</v>
      </c>
    </row>
    <row r="134" spans="1:2">
      <c r="A134" s="21" t="s">
        <v>1536</v>
      </c>
      <c r="B134" s="17" t="s">
        <v>1537</v>
      </c>
    </row>
    <row r="135" spans="1:2">
      <c r="A135" s="21" t="s">
        <v>1538</v>
      </c>
      <c r="B135" s="17" t="s">
        <v>1539</v>
      </c>
    </row>
    <row r="136" spans="1:2">
      <c r="A136" s="21" t="s">
        <v>1540</v>
      </c>
      <c r="B136" s="17" t="s">
        <v>1541</v>
      </c>
    </row>
    <row r="137" spans="1:2">
      <c r="A137" s="21" t="s">
        <v>1542</v>
      </c>
      <c r="B137" s="17" t="s">
        <v>1543</v>
      </c>
    </row>
    <row r="138" spans="1:2">
      <c r="A138" s="21" t="s">
        <v>1544</v>
      </c>
      <c r="B138" s="17" t="s">
        <v>1545</v>
      </c>
    </row>
    <row r="139" spans="1:2">
      <c r="A139" s="21" t="s">
        <v>1546</v>
      </c>
      <c r="B139" s="17" t="s">
        <v>1547</v>
      </c>
    </row>
    <row r="140" spans="1:2">
      <c r="A140" s="21" t="s">
        <v>1548</v>
      </c>
      <c r="B140" s="17" t="s">
        <v>1549</v>
      </c>
    </row>
    <row r="141" spans="1:2">
      <c r="A141" s="21" t="s">
        <v>1550</v>
      </c>
      <c r="B141" s="17" t="s">
        <v>1551</v>
      </c>
    </row>
    <row r="142" spans="1:2">
      <c r="A142" s="21" t="s">
        <v>1552</v>
      </c>
      <c r="B142" s="17" t="s">
        <v>1553</v>
      </c>
    </row>
    <row r="143" spans="1:2">
      <c r="A143" s="21" t="s">
        <v>1554</v>
      </c>
      <c r="B143" s="17" t="s">
        <v>1555</v>
      </c>
    </row>
    <row r="144" spans="1:2">
      <c r="A144" s="21" t="s">
        <v>1556</v>
      </c>
      <c r="B144" s="17" t="s">
        <v>1557</v>
      </c>
    </row>
    <row r="145" spans="1:2">
      <c r="A145" s="21" t="s">
        <v>1558</v>
      </c>
      <c r="B145" s="17" t="s">
        <v>1559</v>
      </c>
    </row>
    <row r="146" spans="1:2">
      <c r="A146" s="21" t="s">
        <v>1560</v>
      </c>
      <c r="B146" s="17" t="s">
        <v>1561</v>
      </c>
    </row>
    <row r="147" spans="1:2">
      <c r="A147" s="21" t="s">
        <v>1562</v>
      </c>
      <c r="B147" s="17" t="s">
        <v>1563</v>
      </c>
    </row>
    <row r="148" spans="1:2">
      <c r="A148" s="21" t="s">
        <v>1564</v>
      </c>
      <c r="B148" s="17" t="s">
        <v>1565</v>
      </c>
    </row>
    <row r="149" spans="1:2">
      <c r="A149" s="21" t="s">
        <v>1566</v>
      </c>
      <c r="B149" s="17" t="s">
        <v>1567</v>
      </c>
    </row>
    <row r="150" spans="1:2">
      <c r="A150" s="21" t="s">
        <v>1568</v>
      </c>
      <c r="B150" s="17" t="s">
        <v>1569</v>
      </c>
    </row>
    <row r="151" spans="1:2">
      <c r="A151" s="21" t="s">
        <v>1570</v>
      </c>
      <c r="B151" s="17" t="s">
        <v>1571</v>
      </c>
    </row>
    <row r="152" spans="1:2">
      <c r="A152" s="21" t="s">
        <v>1572</v>
      </c>
      <c r="B152" s="17" t="s">
        <v>1573</v>
      </c>
    </row>
    <row r="153" spans="1:2">
      <c r="A153" s="21" t="s">
        <v>1574</v>
      </c>
      <c r="B153" s="17" t="s">
        <v>1575</v>
      </c>
    </row>
    <row r="154" spans="1:2">
      <c r="A154" s="21" t="s">
        <v>1576</v>
      </c>
      <c r="B154" s="17" t="s">
        <v>1577</v>
      </c>
    </row>
    <row r="155" spans="1:2">
      <c r="A155" s="21" t="s">
        <v>1578</v>
      </c>
      <c r="B155" s="17" t="s">
        <v>1579</v>
      </c>
    </row>
    <row r="156" spans="1:2">
      <c r="A156" s="21" t="s">
        <v>1580</v>
      </c>
      <c r="B156" s="17" t="s">
        <v>1581</v>
      </c>
    </row>
    <row r="157" spans="1:2">
      <c r="A157" s="21" t="s">
        <v>1582</v>
      </c>
      <c r="B157" s="17" t="s">
        <v>1583</v>
      </c>
    </row>
    <row r="158" spans="1:2">
      <c r="A158" s="21" t="s">
        <v>1584</v>
      </c>
      <c r="B158" s="17" t="s">
        <v>1585</v>
      </c>
    </row>
    <row r="159" spans="1:2">
      <c r="A159" s="21" t="s">
        <v>1586</v>
      </c>
      <c r="B159" s="17" t="s">
        <v>1587</v>
      </c>
    </row>
    <row r="160" spans="1:2">
      <c r="A160" s="21" t="s">
        <v>1588</v>
      </c>
      <c r="B160" s="17" t="s">
        <v>1589</v>
      </c>
    </row>
    <row r="161" spans="1:2">
      <c r="A161" s="21" t="s">
        <v>1590</v>
      </c>
      <c r="B161" s="17" t="s">
        <v>1591</v>
      </c>
    </row>
    <row r="162" spans="1:2">
      <c r="A162" s="21" t="s">
        <v>1592</v>
      </c>
      <c r="B162" s="17" t="s">
        <v>1593</v>
      </c>
    </row>
    <row r="163" spans="1:2">
      <c r="A163" s="21" t="s">
        <v>1594</v>
      </c>
      <c r="B163" s="17" t="s">
        <v>1595</v>
      </c>
    </row>
    <row r="164" spans="1:2">
      <c r="A164" s="21" t="s">
        <v>1596</v>
      </c>
      <c r="B164" s="17" t="s">
        <v>1597</v>
      </c>
    </row>
    <row r="165" spans="1:2">
      <c r="A165" s="21" t="s">
        <v>1598</v>
      </c>
      <c r="B165" s="17" t="s">
        <v>1599</v>
      </c>
    </row>
    <row r="166" spans="1:2">
      <c r="A166" s="21" t="s">
        <v>1600</v>
      </c>
      <c r="B166" s="17" t="s">
        <v>1601</v>
      </c>
    </row>
    <row r="167" spans="1:2">
      <c r="A167" s="21" t="s">
        <v>1602</v>
      </c>
      <c r="B167" s="17" t="s">
        <v>1603</v>
      </c>
    </row>
    <row r="168" spans="1:2">
      <c r="A168" s="21" t="s">
        <v>1604</v>
      </c>
      <c r="B168" s="17" t="s">
        <v>1605</v>
      </c>
    </row>
    <row r="169" spans="1:2">
      <c r="A169" s="21" t="s">
        <v>1606</v>
      </c>
      <c r="B169" s="17" t="s">
        <v>1607</v>
      </c>
    </row>
    <row r="170" spans="1:2">
      <c r="A170" s="21" t="s">
        <v>1608</v>
      </c>
      <c r="B170" s="17" t="s">
        <v>1609</v>
      </c>
    </row>
    <row r="171" spans="1:2">
      <c r="A171" s="21" t="s">
        <v>1610</v>
      </c>
      <c r="B171" s="17" t="s">
        <v>1611</v>
      </c>
    </row>
    <row r="172" spans="1:2">
      <c r="A172" s="21" t="s">
        <v>1612</v>
      </c>
      <c r="B172" s="17" t="s">
        <v>1613</v>
      </c>
    </row>
    <row r="173" spans="1:2">
      <c r="A173" s="21" t="s">
        <v>1614</v>
      </c>
      <c r="B173" s="17" t="s">
        <v>1615</v>
      </c>
    </row>
    <row r="174" spans="1:2">
      <c r="A174" s="21" t="s">
        <v>1616</v>
      </c>
      <c r="B174" s="17" t="s">
        <v>1617</v>
      </c>
    </row>
    <row r="175" spans="1:2">
      <c r="A175" s="21" t="s">
        <v>1618</v>
      </c>
      <c r="B175" s="17" t="s">
        <v>1619</v>
      </c>
    </row>
    <row r="176" spans="1:2">
      <c r="A176" s="21" t="s">
        <v>1620</v>
      </c>
      <c r="B176" s="17" t="s">
        <v>1621</v>
      </c>
    </row>
    <row r="177" spans="1:2">
      <c r="A177" s="163" t="s">
        <v>1622</v>
      </c>
      <c r="B177" s="17" t="s">
        <v>1031</v>
      </c>
    </row>
  </sheetData>
  <hyperlinks>
    <hyperlink ref="C5" location="'Diseño'!$B$28" display="B4_2 *** (2 veces más)"/>
  </hyperlinks>
  <pageMargins left="0.75" right="0.75" top="1" bottom="1" header="0.5" footer="0.5"/>
  <pageSetup paperSize="1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E279"/>
  <sheetViews>
    <sheetView workbookViewId="0">
      <selection activeCell="B42" sqref="B42"/>
    </sheetView>
  </sheetViews>
  <sheetFormatPr defaultColWidth="9.14285714285714" defaultRowHeight="12.75" outlineLevelCol="4"/>
  <cols>
    <col min="1" max="1" width="9.14285714285714" style="17" customWidth="1"/>
    <col min="2" max="2" width="46.8571428571429" style="17" customWidth="1"/>
    <col min="3" max="3" width="25.7142857142857" style="17" customWidth="1"/>
    <col min="4" max="4" width="9.14285714285714" style="17"/>
    <col min="5" max="5" width="12.7142857142857" style="17" customWidth="1"/>
    <col min="6" max="16384" width="9.14285714285714" style="17"/>
  </cols>
  <sheetData>
    <row r="4" spans="1:5">
      <c r="C4" s="18" t="s">
        <v>984</v>
      </c>
      <c r="E4" s="19" t="s">
        <v>985</v>
      </c>
    </row>
    <row r="5" spans="1:5">
      <c r="A5" s="20" t="s">
        <v>82</v>
      </c>
      <c r="C5" s="8" t="s">
        <v>1623</v>
      </c>
    </row>
    <row r="6" spans="1:5">
      <c r="A6" s="3" t="s">
        <v>986</v>
      </c>
      <c r="B6" s="7" t="s">
        <v>9</v>
      </c>
    </row>
    <row r="7" spans="1:5">
      <c r="A7" s="21" t="s">
        <v>1624</v>
      </c>
      <c r="B7" s="17" t="s">
        <v>1625</v>
      </c>
    </row>
    <row r="8" spans="1:5">
      <c r="A8" s="21" t="s">
        <v>1626</v>
      </c>
      <c r="B8" s="17" t="s">
        <v>1627</v>
      </c>
    </row>
    <row r="9" spans="1:5">
      <c r="A9" s="21" t="s">
        <v>1628</v>
      </c>
      <c r="B9" s="17" t="s">
        <v>1629</v>
      </c>
    </row>
    <row r="10" spans="1:5">
      <c r="A10" s="21" t="s">
        <v>1630</v>
      </c>
      <c r="B10" s="17" t="s">
        <v>1631</v>
      </c>
    </row>
    <row r="11" spans="1:5">
      <c r="A11" s="21" t="s">
        <v>1632</v>
      </c>
      <c r="B11" s="17" t="s">
        <v>1633</v>
      </c>
    </row>
    <row r="12" spans="1:5">
      <c r="A12" s="21" t="s">
        <v>1634</v>
      </c>
      <c r="B12" s="17" t="s">
        <v>1635</v>
      </c>
    </row>
    <row r="13" spans="1:5">
      <c r="A13" s="21" t="s">
        <v>1636</v>
      </c>
      <c r="B13" s="17" t="s">
        <v>1637</v>
      </c>
    </row>
    <row r="14" spans="1:5">
      <c r="A14" s="21" t="s">
        <v>1638</v>
      </c>
      <c r="B14" s="17" t="s">
        <v>1639</v>
      </c>
    </row>
    <row r="15" spans="1:5">
      <c r="A15" s="21" t="s">
        <v>1640</v>
      </c>
      <c r="B15" s="17" t="s">
        <v>1641</v>
      </c>
    </row>
    <row r="16" spans="1:5">
      <c r="A16" s="21" t="s">
        <v>1642</v>
      </c>
      <c r="B16" s="17" t="s">
        <v>1643</v>
      </c>
    </row>
    <row r="17" spans="1:2">
      <c r="A17" s="21" t="s">
        <v>1644</v>
      </c>
      <c r="B17" s="17" t="s">
        <v>1645</v>
      </c>
    </row>
    <row r="18" spans="1:2">
      <c r="A18" s="21" t="s">
        <v>1646</v>
      </c>
      <c r="B18" s="17" t="s">
        <v>1647</v>
      </c>
    </row>
    <row r="19" spans="1:2">
      <c r="A19" s="21" t="s">
        <v>1648</v>
      </c>
      <c r="B19" s="17" t="s">
        <v>1649</v>
      </c>
    </row>
    <row r="20" spans="1:2">
      <c r="A20" s="21" t="s">
        <v>1650</v>
      </c>
      <c r="B20" s="17" t="s">
        <v>1651</v>
      </c>
    </row>
    <row r="21" spans="1:2">
      <c r="A21" s="21" t="s">
        <v>1652</v>
      </c>
      <c r="B21" s="17" t="s">
        <v>1653</v>
      </c>
    </row>
    <row r="22" spans="1:2">
      <c r="A22" s="21" t="s">
        <v>1654</v>
      </c>
      <c r="B22" s="17" t="s">
        <v>1655</v>
      </c>
    </row>
    <row r="23" spans="1:2">
      <c r="A23" s="21" t="s">
        <v>1656</v>
      </c>
      <c r="B23" s="17" t="s">
        <v>1657</v>
      </c>
    </row>
    <row r="24" spans="1:2">
      <c r="A24" s="21" t="s">
        <v>1658</v>
      </c>
      <c r="B24" s="17" t="s">
        <v>1659</v>
      </c>
    </row>
    <row r="25" spans="1:2">
      <c r="A25" s="21" t="s">
        <v>1660</v>
      </c>
      <c r="B25" s="17" t="s">
        <v>1661</v>
      </c>
    </row>
    <row r="26" spans="1:2">
      <c r="A26" s="21" t="s">
        <v>1662</v>
      </c>
      <c r="B26" s="17" t="s">
        <v>1663</v>
      </c>
    </row>
    <row r="27" spans="1:2">
      <c r="A27" s="21" t="s">
        <v>1664</v>
      </c>
      <c r="B27" s="17" t="s">
        <v>1665</v>
      </c>
    </row>
    <row r="28" spans="1:2">
      <c r="A28" s="21" t="s">
        <v>1666</v>
      </c>
      <c r="B28" s="17" t="s">
        <v>1667</v>
      </c>
    </row>
    <row r="29" spans="1:2">
      <c r="A29" s="21" t="s">
        <v>1668</v>
      </c>
      <c r="B29" s="17" t="s">
        <v>1669</v>
      </c>
    </row>
    <row r="30" spans="1:2">
      <c r="A30" s="21" t="s">
        <v>1670</v>
      </c>
      <c r="B30" s="17" t="s">
        <v>1671</v>
      </c>
    </row>
    <row r="31" spans="1:2">
      <c r="A31" s="21" t="s">
        <v>1672</v>
      </c>
      <c r="B31" s="17" t="s">
        <v>1673</v>
      </c>
    </row>
    <row r="32" spans="1:2">
      <c r="A32" s="21" t="s">
        <v>1674</v>
      </c>
      <c r="B32" s="17" t="s">
        <v>1675</v>
      </c>
    </row>
    <row r="33" spans="1:2">
      <c r="A33" s="21" t="s">
        <v>1676</v>
      </c>
      <c r="B33" s="17" t="s">
        <v>1677</v>
      </c>
    </row>
    <row r="34" spans="1:2">
      <c r="A34" s="21" t="s">
        <v>1678</v>
      </c>
      <c r="B34" s="17" t="s">
        <v>1679</v>
      </c>
    </row>
    <row r="35" spans="1:2">
      <c r="A35" s="21" t="s">
        <v>1680</v>
      </c>
      <c r="B35" s="17" t="s">
        <v>1681</v>
      </c>
    </row>
    <row r="36" spans="1:2">
      <c r="A36" s="21" t="s">
        <v>1682</v>
      </c>
      <c r="B36" s="17" t="s">
        <v>1683</v>
      </c>
    </row>
    <row r="37" spans="1:2">
      <c r="A37" s="21" t="s">
        <v>1684</v>
      </c>
      <c r="B37" s="17" t="s">
        <v>1685</v>
      </c>
    </row>
    <row r="38" spans="1:2">
      <c r="A38" s="21" t="s">
        <v>1686</v>
      </c>
      <c r="B38" s="17" t="s">
        <v>1687</v>
      </c>
    </row>
    <row r="39" spans="1:2">
      <c r="A39" s="21" t="s">
        <v>1688</v>
      </c>
      <c r="B39" s="17" t="s">
        <v>1689</v>
      </c>
    </row>
    <row r="40" spans="1:2">
      <c r="A40" s="21" t="s">
        <v>1690</v>
      </c>
      <c r="B40" s="17" t="s">
        <v>1691</v>
      </c>
    </row>
    <row r="41" spans="1:2">
      <c r="A41" s="21" t="s">
        <v>1294</v>
      </c>
      <c r="B41" s="17" t="s">
        <v>1692</v>
      </c>
    </row>
    <row r="42" spans="1:2">
      <c r="A42" s="21" t="s">
        <v>1296</v>
      </c>
      <c r="B42" s="17" t="s">
        <v>1693</v>
      </c>
    </row>
    <row r="43" spans="1:2">
      <c r="A43" s="21" t="s">
        <v>1694</v>
      </c>
      <c r="B43" s="17" t="s">
        <v>1695</v>
      </c>
    </row>
    <row r="44" spans="1:2">
      <c r="A44" s="21" t="s">
        <v>1696</v>
      </c>
      <c r="B44" s="17" t="s">
        <v>1697</v>
      </c>
    </row>
    <row r="45" spans="1:2">
      <c r="A45" s="21" t="s">
        <v>1298</v>
      </c>
      <c r="B45" s="17" t="s">
        <v>1698</v>
      </c>
    </row>
    <row r="46" spans="1:2">
      <c r="A46" s="21" t="s">
        <v>1300</v>
      </c>
      <c r="B46" s="17" t="s">
        <v>1699</v>
      </c>
    </row>
    <row r="47" spans="1:2">
      <c r="A47" s="21" t="s">
        <v>1302</v>
      </c>
      <c r="B47" s="17" t="s">
        <v>1700</v>
      </c>
    </row>
    <row r="48" spans="1:2">
      <c r="A48" s="21" t="s">
        <v>1701</v>
      </c>
      <c r="B48" s="17" t="s">
        <v>1702</v>
      </c>
    </row>
    <row r="49" spans="1:2">
      <c r="A49" s="21" t="s">
        <v>1703</v>
      </c>
      <c r="B49" s="17" t="s">
        <v>1704</v>
      </c>
    </row>
    <row r="50" spans="1:2">
      <c r="A50" s="21" t="s">
        <v>1705</v>
      </c>
      <c r="B50" s="17" t="s">
        <v>1706</v>
      </c>
    </row>
    <row r="51" spans="1:2">
      <c r="A51" s="21" t="s">
        <v>1707</v>
      </c>
      <c r="B51" s="17" t="s">
        <v>1708</v>
      </c>
    </row>
    <row r="52" spans="1:2">
      <c r="A52" s="21" t="s">
        <v>1709</v>
      </c>
      <c r="B52" s="17" t="s">
        <v>1710</v>
      </c>
    </row>
    <row r="53" spans="1:2">
      <c r="A53" s="21" t="s">
        <v>1711</v>
      </c>
      <c r="B53" s="17" t="s">
        <v>1712</v>
      </c>
    </row>
    <row r="54" spans="1:2">
      <c r="A54" s="21" t="s">
        <v>1713</v>
      </c>
      <c r="B54" s="17" t="s">
        <v>1714</v>
      </c>
    </row>
    <row r="55" spans="1:2">
      <c r="A55" s="21" t="s">
        <v>1715</v>
      </c>
      <c r="B55" s="17" t="s">
        <v>1716</v>
      </c>
    </row>
    <row r="56" spans="1:2">
      <c r="A56" s="21" t="s">
        <v>1717</v>
      </c>
      <c r="B56" s="17" t="s">
        <v>1718</v>
      </c>
    </row>
    <row r="57" spans="1:2">
      <c r="A57" s="21" t="s">
        <v>1719</v>
      </c>
      <c r="B57" s="17" t="s">
        <v>1720</v>
      </c>
    </row>
    <row r="58" spans="1:2">
      <c r="A58" s="21" t="s">
        <v>1721</v>
      </c>
      <c r="B58" s="17" t="s">
        <v>1722</v>
      </c>
    </row>
    <row r="59" spans="1:2">
      <c r="A59" s="21" t="s">
        <v>1723</v>
      </c>
      <c r="B59" s="17" t="s">
        <v>1724</v>
      </c>
    </row>
    <row r="60" spans="1:2">
      <c r="A60" s="21" t="s">
        <v>1725</v>
      </c>
      <c r="B60" s="17" t="s">
        <v>1726</v>
      </c>
    </row>
    <row r="61" spans="1:2">
      <c r="A61" s="21" t="s">
        <v>1727</v>
      </c>
      <c r="B61" s="17" t="s">
        <v>1728</v>
      </c>
    </row>
    <row r="62" spans="1:2">
      <c r="A62" s="21" t="s">
        <v>1729</v>
      </c>
      <c r="B62" s="17" t="s">
        <v>1730</v>
      </c>
    </row>
    <row r="63" spans="1:2">
      <c r="A63" s="21" t="s">
        <v>1731</v>
      </c>
      <c r="B63" s="17" t="s">
        <v>1732</v>
      </c>
    </row>
    <row r="64" spans="1:2">
      <c r="A64" s="21" t="s">
        <v>1306</v>
      </c>
      <c r="B64" s="17" t="s">
        <v>1733</v>
      </c>
    </row>
    <row r="65" spans="1:2">
      <c r="A65" s="21" t="s">
        <v>1308</v>
      </c>
      <c r="B65" s="17" t="s">
        <v>1734</v>
      </c>
    </row>
    <row r="66" spans="1:2">
      <c r="A66" s="21" t="s">
        <v>1316</v>
      </c>
      <c r="B66" s="17" t="s">
        <v>1735</v>
      </c>
    </row>
    <row r="67" spans="1:2">
      <c r="A67" s="21" t="s">
        <v>1318</v>
      </c>
      <c r="B67" s="17" t="s">
        <v>1736</v>
      </c>
    </row>
    <row r="68" spans="1:2">
      <c r="A68" s="21" t="s">
        <v>1326</v>
      </c>
      <c r="B68" s="17" t="s">
        <v>1737</v>
      </c>
    </row>
    <row r="69" spans="1:2">
      <c r="A69" s="21" t="s">
        <v>1328</v>
      </c>
      <c r="B69" s="17" t="s">
        <v>1738</v>
      </c>
    </row>
    <row r="70" spans="1:2">
      <c r="A70" s="21" t="s">
        <v>1739</v>
      </c>
      <c r="B70" s="17" t="s">
        <v>1740</v>
      </c>
    </row>
    <row r="71" spans="1:2">
      <c r="A71" s="21" t="s">
        <v>1741</v>
      </c>
      <c r="B71" s="17" t="s">
        <v>1742</v>
      </c>
    </row>
    <row r="72" spans="1:2">
      <c r="A72" s="21" t="s">
        <v>1743</v>
      </c>
      <c r="B72" s="17" t="s">
        <v>1744</v>
      </c>
    </row>
    <row r="73" spans="1:2">
      <c r="A73" s="21" t="s">
        <v>1745</v>
      </c>
      <c r="B73" s="17" t="s">
        <v>1746</v>
      </c>
    </row>
    <row r="74" spans="1:2">
      <c r="A74" s="21" t="s">
        <v>1747</v>
      </c>
      <c r="B74" s="17" t="s">
        <v>1748</v>
      </c>
    </row>
    <row r="75" spans="1:2">
      <c r="A75" s="21" t="s">
        <v>1749</v>
      </c>
      <c r="B75" s="17" t="s">
        <v>1750</v>
      </c>
    </row>
    <row r="76" spans="1:2">
      <c r="A76" s="21" t="s">
        <v>1330</v>
      </c>
      <c r="B76" s="17" t="s">
        <v>1751</v>
      </c>
    </row>
    <row r="77" spans="1:2">
      <c r="A77" s="21" t="s">
        <v>1332</v>
      </c>
      <c r="B77" s="17" t="s">
        <v>1752</v>
      </c>
    </row>
    <row r="78" spans="1:2">
      <c r="A78" s="21" t="s">
        <v>1334</v>
      </c>
      <c r="B78" s="17" t="s">
        <v>1753</v>
      </c>
    </row>
    <row r="79" spans="1:2">
      <c r="A79" s="21" t="s">
        <v>1336</v>
      </c>
      <c r="B79" s="17" t="s">
        <v>1754</v>
      </c>
    </row>
    <row r="80" spans="1:2">
      <c r="A80" s="21" t="s">
        <v>1338</v>
      </c>
      <c r="B80" s="17" t="s">
        <v>1755</v>
      </c>
    </row>
    <row r="81" spans="1:2">
      <c r="A81" s="21" t="s">
        <v>1346</v>
      </c>
      <c r="B81" s="17" t="s">
        <v>1756</v>
      </c>
    </row>
    <row r="82" spans="1:2">
      <c r="A82" s="21" t="s">
        <v>1757</v>
      </c>
      <c r="B82" s="17" t="s">
        <v>1758</v>
      </c>
    </row>
    <row r="83" spans="1:2">
      <c r="A83" s="21" t="s">
        <v>1759</v>
      </c>
      <c r="B83" s="17" t="s">
        <v>1760</v>
      </c>
    </row>
    <row r="84" spans="1:2">
      <c r="A84" s="21" t="s">
        <v>1761</v>
      </c>
      <c r="B84" s="17" t="s">
        <v>1762</v>
      </c>
    </row>
    <row r="85" spans="1:2">
      <c r="A85" s="21" t="s">
        <v>1763</v>
      </c>
      <c r="B85" s="17" t="s">
        <v>1764</v>
      </c>
    </row>
    <row r="86" spans="1:2">
      <c r="A86" s="21" t="s">
        <v>1765</v>
      </c>
      <c r="B86" s="17" t="s">
        <v>1766</v>
      </c>
    </row>
    <row r="87" spans="1:2">
      <c r="A87" s="21" t="s">
        <v>1767</v>
      </c>
      <c r="B87" s="17" t="s">
        <v>1768</v>
      </c>
    </row>
    <row r="88" spans="1:2">
      <c r="A88" s="21" t="s">
        <v>1348</v>
      </c>
      <c r="B88" s="17" t="s">
        <v>1769</v>
      </c>
    </row>
    <row r="89" spans="1:2">
      <c r="A89" s="21" t="s">
        <v>1350</v>
      </c>
      <c r="B89" s="17" t="s">
        <v>1770</v>
      </c>
    </row>
    <row r="90" spans="1:2">
      <c r="A90" s="21" t="s">
        <v>1352</v>
      </c>
      <c r="B90" s="17" t="s">
        <v>1771</v>
      </c>
    </row>
    <row r="91" spans="1:2">
      <c r="A91" s="21" t="s">
        <v>1354</v>
      </c>
      <c r="B91" s="17" t="s">
        <v>1772</v>
      </c>
    </row>
    <row r="92" spans="1:2">
      <c r="A92" s="21" t="s">
        <v>1356</v>
      </c>
      <c r="B92" s="17" t="s">
        <v>1773</v>
      </c>
    </row>
    <row r="93" spans="1:2">
      <c r="A93" s="21" t="s">
        <v>1358</v>
      </c>
      <c r="B93" s="17" t="s">
        <v>1774</v>
      </c>
    </row>
    <row r="94" spans="1:2">
      <c r="A94" s="21" t="s">
        <v>1775</v>
      </c>
      <c r="B94" s="17" t="s">
        <v>1776</v>
      </c>
    </row>
    <row r="95" spans="1:2">
      <c r="A95" s="21" t="s">
        <v>1777</v>
      </c>
      <c r="B95" s="17" t="s">
        <v>1778</v>
      </c>
    </row>
    <row r="96" spans="1:2">
      <c r="A96" s="21" t="s">
        <v>1779</v>
      </c>
      <c r="B96" s="17" t="s">
        <v>1780</v>
      </c>
    </row>
    <row r="97" spans="1:2">
      <c r="A97" s="21" t="s">
        <v>1360</v>
      </c>
      <c r="B97" s="17" t="s">
        <v>1781</v>
      </c>
    </row>
    <row r="98" spans="1:2">
      <c r="A98" s="21" t="s">
        <v>1362</v>
      </c>
      <c r="B98" s="17" t="s">
        <v>1782</v>
      </c>
    </row>
    <row r="99" spans="1:2">
      <c r="A99" s="21" t="s">
        <v>1783</v>
      </c>
      <c r="B99" s="17" t="s">
        <v>1784</v>
      </c>
    </row>
    <row r="100" spans="1:2">
      <c r="A100" s="21" t="s">
        <v>1785</v>
      </c>
      <c r="B100" s="17" t="s">
        <v>1786</v>
      </c>
    </row>
    <row r="101" spans="1:2">
      <c r="A101" s="21" t="s">
        <v>1787</v>
      </c>
      <c r="B101" s="17" t="s">
        <v>1788</v>
      </c>
    </row>
    <row r="102" spans="1:2">
      <c r="A102" s="21" t="s">
        <v>1789</v>
      </c>
      <c r="B102" s="17" t="s">
        <v>1790</v>
      </c>
    </row>
    <row r="103" spans="1:2">
      <c r="A103" s="21" t="s">
        <v>1364</v>
      </c>
      <c r="B103" s="17" t="s">
        <v>1791</v>
      </c>
    </row>
    <row r="104" spans="1:2">
      <c r="A104" s="21" t="s">
        <v>1366</v>
      </c>
      <c r="B104" s="17" t="s">
        <v>1792</v>
      </c>
    </row>
    <row r="105" spans="1:2">
      <c r="A105" s="21" t="s">
        <v>1368</v>
      </c>
      <c r="B105" s="17" t="s">
        <v>1793</v>
      </c>
    </row>
    <row r="106" spans="1:2">
      <c r="A106" s="21" t="s">
        <v>1794</v>
      </c>
      <c r="B106" s="17" t="s">
        <v>1795</v>
      </c>
    </row>
    <row r="107" spans="1:2">
      <c r="A107" s="21" t="s">
        <v>1796</v>
      </c>
      <c r="B107" s="17" t="s">
        <v>1797</v>
      </c>
    </row>
    <row r="108" spans="1:2">
      <c r="A108" s="21" t="s">
        <v>1370</v>
      </c>
      <c r="B108" s="17" t="s">
        <v>1798</v>
      </c>
    </row>
    <row r="109" spans="1:2">
      <c r="A109" s="21" t="s">
        <v>1372</v>
      </c>
      <c r="B109" s="17" t="s">
        <v>1799</v>
      </c>
    </row>
    <row r="110" spans="1:2">
      <c r="A110" s="21" t="s">
        <v>1374</v>
      </c>
      <c r="B110" s="17" t="s">
        <v>1800</v>
      </c>
    </row>
    <row r="111" spans="1:2">
      <c r="A111" s="21" t="s">
        <v>1801</v>
      </c>
      <c r="B111" s="17" t="s">
        <v>1802</v>
      </c>
    </row>
    <row r="112" spans="1:2">
      <c r="A112" s="21" t="s">
        <v>1803</v>
      </c>
      <c r="B112" s="17" t="s">
        <v>1804</v>
      </c>
    </row>
    <row r="113" spans="1:2">
      <c r="A113" s="21" t="s">
        <v>1805</v>
      </c>
      <c r="B113" s="17" t="s">
        <v>1806</v>
      </c>
    </row>
    <row r="114" spans="1:2">
      <c r="A114" s="21" t="s">
        <v>1807</v>
      </c>
      <c r="B114" s="17" t="s">
        <v>1808</v>
      </c>
    </row>
    <row r="115" spans="1:2">
      <c r="A115" s="21" t="s">
        <v>1809</v>
      </c>
      <c r="B115" s="17" t="s">
        <v>1810</v>
      </c>
    </row>
    <row r="116" spans="1:2">
      <c r="A116" s="21" t="s">
        <v>1811</v>
      </c>
      <c r="B116" s="17" t="s">
        <v>1812</v>
      </c>
    </row>
    <row r="117" spans="1:2">
      <c r="A117" s="21" t="s">
        <v>1813</v>
      </c>
      <c r="B117" s="17" t="s">
        <v>1814</v>
      </c>
    </row>
    <row r="118" spans="1:2">
      <c r="A118" s="21" t="s">
        <v>1815</v>
      </c>
      <c r="B118" s="17" t="s">
        <v>1816</v>
      </c>
    </row>
    <row r="119" spans="1:2">
      <c r="A119" s="21" t="s">
        <v>1817</v>
      </c>
      <c r="B119" s="17" t="s">
        <v>1818</v>
      </c>
    </row>
    <row r="120" spans="1:2">
      <c r="A120" s="21" t="s">
        <v>1819</v>
      </c>
      <c r="B120" s="17" t="s">
        <v>1820</v>
      </c>
    </row>
    <row r="121" spans="1:2">
      <c r="A121" s="21" t="s">
        <v>1821</v>
      </c>
      <c r="B121" s="17" t="s">
        <v>1822</v>
      </c>
    </row>
    <row r="122" spans="1:2">
      <c r="A122" s="21" t="s">
        <v>1823</v>
      </c>
      <c r="B122" s="17" t="s">
        <v>1824</v>
      </c>
    </row>
    <row r="123" spans="1:2">
      <c r="A123" s="21" t="s">
        <v>1390</v>
      </c>
      <c r="B123" s="17" t="s">
        <v>1825</v>
      </c>
    </row>
    <row r="124" spans="1:2">
      <c r="A124" s="21" t="s">
        <v>1392</v>
      </c>
      <c r="B124" s="17" t="s">
        <v>1826</v>
      </c>
    </row>
    <row r="125" spans="1:2">
      <c r="A125" s="21" t="s">
        <v>1398</v>
      </c>
      <c r="B125" s="17" t="s">
        <v>1827</v>
      </c>
    </row>
    <row r="126" spans="1:2">
      <c r="A126" s="21" t="s">
        <v>1400</v>
      </c>
      <c r="B126" s="17" t="s">
        <v>1828</v>
      </c>
    </row>
    <row r="127" spans="1:2">
      <c r="A127" s="21" t="s">
        <v>1402</v>
      </c>
      <c r="B127" s="17" t="s">
        <v>1829</v>
      </c>
    </row>
    <row r="128" spans="1:2">
      <c r="A128" s="21" t="s">
        <v>1830</v>
      </c>
      <c r="B128" s="17" t="s">
        <v>1831</v>
      </c>
    </row>
    <row r="129" spans="1:2">
      <c r="A129" s="21" t="s">
        <v>1832</v>
      </c>
      <c r="B129" s="17" t="s">
        <v>1833</v>
      </c>
    </row>
    <row r="130" spans="1:2">
      <c r="A130" s="21" t="s">
        <v>1416</v>
      </c>
      <c r="B130" s="17" t="s">
        <v>1834</v>
      </c>
    </row>
    <row r="131" spans="1:2">
      <c r="A131" s="21" t="s">
        <v>1418</v>
      </c>
      <c r="B131" s="17" t="s">
        <v>1835</v>
      </c>
    </row>
    <row r="132" spans="1:2">
      <c r="A132" s="21" t="s">
        <v>1420</v>
      </c>
      <c r="B132" s="17" t="s">
        <v>1836</v>
      </c>
    </row>
    <row r="133" spans="1:2">
      <c r="A133" s="21" t="s">
        <v>1837</v>
      </c>
      <c r="B133" s="17" t="s">
        <v>1838</v>
      </c>
    </row>
    <row r="134" spans="1:2">
      <c r="A134" s="21" t="s">
        <v>1422</v>
      </c>
      <c r="B134" s="17" t="s">
        <v>1839</v>
      </c>
    </row>
    <row r="135" spans="1:2">
      <c r="A135" s="21" t="s">
        <v>1424</v>
      </c>
      <c r="B135" s="17" t="s">
        <v>1840</v>
      </c>
    </row>
    <row r="136" spans="1:2">
      <c r="A136" s="21" t="s">
        <v>1426</v>
      </c>
      <c r="B136" s="17" t="s">
        <v>1841</v>
      </c>
    </row>
    <row r="137" spans="1:2">
      <c r="A137" s="21" t="s">
        <v>1428</v>
      </c>
      <c r="B137" s="17" t="s">
        <v>1842</v>
      </c>
    </row>
    <row r="138" spans="1:2">
      <c r="A138" s="21" t="s">
        <v>1843</v>
      </c>
      <c r="B138" s="17" t="s">
        <v>1844</v>
      </c>
    </row>
    <row r="139" spans="1:2">
      <c r="A139" s="21" t="s">
        <v>1845</v>
      </c>
      <c r="B139" s="17" t="s">
        <v>1846</v>
      </c>
    </row>
    <row r="140" spans="1:2">
      <c r="A140" s="21" t="s">
        <v>1847</v>
      </c>
      <c r="B140" s="17" t="s">
        <v>1848</v>
      </c>
    </row>
    <row r="141" spans="1:2">
      <c r="A141" s="21" t="s">
        <v>1849</v>
      </c>
      <c r="B141" s="17" t="s">
        <v>1850</v>
      </c>
    </row>
    <row r="142" spans="1:2">
      <c r="A142" s="21" t="s">
        <v>1851</v>
      </c>
      <c r="B142" s="17" t="s">
        <v>1852</v>
      </c>
    </row>
    <row r="143" spans="1:2">
      <c r="A143" s="21" t="s">
        <v>1853</v>
      </c>
      <c r="B143" s="17" t="s">
        <v>1854</v>
      </c>
    </row>
    <row r="144" spans="1:2">
      <c r="A144" s="21" t="s">
        <v>1855</v>
      </c>
      <c r="B144" s="17" t="s">
        <v>1856</v>
      </c>
    </row>
    <row r="145" spans="1:2">
      <c r="A145" s="21" t="s">
        <v>1857</v>
      </c>
      <c r="B145" s="17" t="s">
        <v>1858</v>
      </c>
    </row>
    <row r="146" spans="1:2">
      <c r="A146" s="21" t="s">
        <v>1859</v>
      </c>
      <c r="B146" s="17" t="s">
        <v>1860</v>
      </c>
    </row>
    <row r="147" spans="1:2">
      <c r="A147" s="21" t="s">
        <v>1861</v>
      </c>
      <c r="B147" s="17" t="s">
        <v>1862</v>
      </c>
    </row>
    <row r="148" spans="1:2">
      <c r="A148" s="21" t="s">
        <v>1863</v>
      </c>
      <c r="B148" s="17" t="s">
        <v>1864</v>
      </c>
    </row>
    <row r="149" spans="1:2">
      <c r="A149" s="21" t="s">
        <v>1865</v>
      </c>
      <c r="B149" s="17" t="s">
        <v>1866</v>
      </c>
    </row>
    <row r="150" spans="1:2">
      <c r="A150" s="21" t="s">
        <v>1867</v>
      </c>
      <c r="B150" s="17" t="s">
        <v>1868</v>
      </c>
    </row>
    <row r="151" spans="1:2">
      <c r="A151" s="21" t="s">
        <v>1869</v>
      </c>
      <c r="B151" s="17" t="s">
        <v>1870</v>
      </c>
    </row>
    <row r="152" spans="1:2">
      <c r="A152" s="21" t="s">
        <v>1871</v>
      </c>
      <c r="B152" s="17" t="s">
        <v>1872</v>
      </c>
    </row>
    <row r="153" spans="1:2">
      <c r="A153" s="21" t="s">
        <v>1873</v>
      </c>
      <c r="B153" s="17" t="s">
        <v>1874</v>
      </c>
    </row>
    <row r="154" spans="1:2">
      <c r="A154" s="21" t="s">
        <v>1875</v>
      </c>
      <c r="B154" s="17" t="s">
        <v>1876</v>
      </c>
    </row>
    <row r="155" spans="1:2">
      <c r="A155" s="21" t="s">
        <v>1877</v>
      </c>
      <c r="B155" s="17" t="s">
        <v>1878</v>
      </c>
    </row>
    <row r="156" spans="1:2">
      <c r="A156" s="21" t="s">
        <v>1879</v>
      </c>
      <c r="B156" s="17" t="s">
        <v>1880</v>
      </c>
    </row>
    <row r="157" spans="1:2">
      <c r="A157" s="21" t="s">
        <v>1881</v>
      </c>
      <c r="B157" s="17" t="s">
        <v>1882</v>
      </c>
    </row>
    <row r="158" spans="1:2">
      <c r="A158" s="21" t="s">
        <v>1883</v>
      </c>
      <c r="B158" s="17" t="s">
        <v>1884</v>
      </c>
    </row>
    <row r="159" spans="1:2">
      <c r="A159" s="21" t="s">
        <v>1885</v>
      </c>
      <c r="B159" s="17" t="s">
        <v>1886</v>
      </c>
    </row>
    <row r="160" spans="1:2">
      <c r="A160" s="21" t="s">
        <v>1887</v>
      </c>
      <c r="B160" s="17" t="s">
        <v>1888</v>
      </c>
    </row>
    <row r="161" spans="1:2">
      <c r="A161" s="21" t="s">
        <v>1889</v>
      </c>
      <c r="B161" s="17" t="s">
        <v>1890</v>
      </c>
    </row>
    <row r="162" spans="1:2">
      <c r="A162" s="21" t="s">
        <v>1891</v>
      </c>
      <c r="B162" s="17" t="s">
        <v>1892</v>
      </c>
    </row>
    <row r="163" spans="1:2">
      <c r="A163" s="21" t="s">
        <v>1893</v>
      </c>
      <c r="B163" s="17" t="s">
        <v>1894</v>
      </c>
    </row>
    <row r="164" spans="1:2">
      <c r="A164" s="21" t="s">
        <v>1895</v>
      </c>
      <c r="B164" s="17" t="s">
        <v>1896</v>
      </c>
    </row>
    <row r="165" spans="1:2">
      <c r="A165" s="21" t="s">
        <v>1897</v>
      </c>
      <c r="B165" s="17" t="s">
        <v>1898</v>
      </c>
    </row>
    <row r="166" spans="1:2">
      <c r="A166" s="21" t="s">
        <v>1899</v>
      </c>
      <c r="B166" s="17" t="s">
        <v>1900</v>
      </c>
    </row>
    <row r="167" spans="1:2">
      <c r="A167" s="21" t="s">
        <v>1901</v>
      </c>
      <c r="B167" s="17" t="s">
        <v>1902</v>
      </c>
    </row>
    <row r="168" spans="1:2">
      <c r="A168" s="21" t="s">
        <v>1903</v>
      </c>
      <c r="B168" s="17" t="s">
        <v>1904</v>
      </c>
    </row>
    <row r="169" spans="1:2">
      <c r="A169" s="21" t="s">
        <v>1905</v>
      </c>
      <c r="B169" s="17" t="s">
        <v>1906</v>
      </c>
    </row>
    <row r="170" spans="1:2">
      <c r="A170" s="21" t="s">
        <v>1907</v>
      </c>
      <c r="B170" s="17" t="s">
        <v>1908</v>
      </c>
    </row>
    <row r="171" spans="1:2">
      <c r="A171" s="21" t="s">
        <v>1909</v>
      </c>
      <c r="B171" s="17" t="s">
        <v>1910</v>
      </c>
    </row>
    <row r="172" spans="1:2">
      <c r="A172" s="21" t="s">
        <v>1911</v>
      </c>
      <c r="B172" s="17" t="s">
        <v>1912</v>
      </c>
    </row>
    <row r="173" spans="1:2">
      <c r="A173" s="21" t="s">
        <v>1444</v>
      </c>
      <c r="B173" s="17" t="s">
        <v>1913</v>
      </c>
    </row>
    <row r="174" spans="1:2">
      <c r="A174" s="21" t="s">
        <v>1446</v>
      </c>
      <c r="B174" s="17" t="s">
        <v>1914</v>
      </c>
    </row>
    <row r="175" spans="1:2">
      <c r="A175" s="21" t="s">
        <v>1448</v>
      </c>
      <c r="B175" s="17" t="s">
        <v>1915</v>
      </c>
    </row>
    <row r="176" spans="1:2">
      <c r="A176" s="21" t="s">
        <v>1450</v>
      </c>
      <c r="B176" s="17" t="s">
        <v>1916</v>
      </c>
    </row>
    <row r="177" spans="1:2">
      <c r="A177" s="21" t="s">
        <v>1917</v>
      </c>
      <c r="B177" s="17" t="s">
        <v>1918</v>
      </c>
    </row>
    <row r="178" spans="1:2">
      <c r="A178" s="21" t="s">
        <v>1919</v>
      </c>
      <c r="B178" s="17" t="s">
        <v>1920</v>
      </c>
    </row>
    <row r="179" spans="1:2">
      <c r="A179" s="21" t="s">
        <v>1921</v>
      </c>
      <c r="B179" s="17" t="s">
        <v>1922</v>
      </c>
    </row>
    <row r="180" spans="1:2">
      <c r="A180" s="21" t="s">
        <v>1923</v>
      </c>
      <c r="B180" s="17" t="s">
        <v>1924</v>
      </c>
    </row>
    <row r="181" spans="1:2">
      <c r="A181" s="21" t="s">
        <v>1925</v>
      </c>
      <c r="B181" s="17" t="s">
        <v>1926</v>
      </c>
    </row>
    <row r="182" spans="1:2">
      <c r="A182" s="21" t="s">
        <v>1927</v>
      </c>
      <c r="B182" s="17" t="s">
        <v>1928</v>
      </c>
    </row>
    <row r="183" spans="1:2">
      <c r="A183" s="21" t="s">
        <v>1464</v>
      </c>
      <c r="B183" s="17" t="s">
        <v>1929</v>
      </c>
    </row>
    <row r="184" spans="1:2">
      <c r="A184" s="21" t="s">
        <v>1466</v>
      </c>
      <c r="B184" s="17" t="s">
        <v>1930</v>
      </c>
    </row>
    <row r="185" spans="1:2">
      <c r="A185" s="21" t="s">
        <v>1931</v>
      </c>
      <c r="B185" s="17" t="s">
        <v>1932</v>
      </c>
    </row>
    <row r="186" spans="1:2">
      <c r="A186" s="21" t="s">
        <v>1472</v>
      </c>
      <c r="B186" s="17" t="s">
        <v>1933</v>
      </c>
    </row>
    <row r="187" spans="1:2">
      <c r="A187" s="21" t="s">
        <v>1474</v>
      </c>
      <c r="B187" s="17" t="s">
        <v>1934</v>
      </c>
    </row>
    <row r="188" spans="1:2">
      <c r="A188" s="21" t="s">
        <v>1482</v>
      </c>
      <c r="B188" s="17" t="s">
        <v>1935</v>
      </c>
    </row>
    <row r="189" spans="1:2">
      <c r="A189" s="21" t="s">
        <v>1484</v>
      </c>
      <c r="B189" s="17" t="s">
        <v>1936</v>
      </c>
    </row>
    <row r="190" spans="1:2">
      <c r="A190" s="21" t="s">
        <v>1937</v>
      </c>
      <c r="B190" s="17" t="s">
        <v>1938</v>
      </c>
    </row>
    <row r="191" spans="1:2">
      <c r="A191" s="21" t="s">
        <v>1939</v>
      </c>
      <c r="B191" s="17" t="s">
        <v>1940</v>
      </c>
    </row>
    <row r="192" spans="1:2">
      <c r="A192" s="21" t="s">
        <v>1492</v>
      </c>
      <c r="B192" s="17" t="s">
        <v>1941</v>
      </c>
    </row>
    <row r="193" spans="1:2">
      <c r="A193" s="21" t="s">
        <v>1494</v>
      </c>
      <c r="B193" s="17" t="s">
        <v>1942</v>
      </c>
    </row>
    <row r="194" spans="1:2">
      <c r="A194" s="21" t="s">
        <v>1943</v>
      </c>
      <c r="B194" s="17" t="s">
        <v>1944</v>
      </c>
    </row>
    <row r="195" spans="1:2">
      <c r="A195" s="21" t="s">
        <v>1945</v>
      </c>
      <c r="B195" s="17" t="s">
        <v>1946</v>
      </c>
    </row>
    <row r="196" spans="1:2">
      <c r="A196" s="21" t="s">
        <v>1496</v>
      </c>
      <c r="B196" s="17" t="s">
        <v>1947</v>
      </c>
    </row>
    <row r="197" spans="1:2">
      <c r="A197" s="21" t="s">
        <v>1948</v>
      </c>
      <c r="B197" s="17" t="s">
        <v>1949</v>
      </c>
    </row>
    <row r="198" spans="1:2">
      <c r="A198" s="21" t="s">
        <v>1950</v>
      </c>
      <c r="B198" s="17" t="s">
        <v>1951</v>
      </c>
    </row>
    <row r="199" spans="1:2">
      <c r="A199" s="21" t="s">
        <v>1500</v>
      </c>
      <c r="B199" s="17" t="s">
        <v>1952</v>
      </c>
    </row>
    <row r="200" spans="1:2">
      <c r="A200" s="21" t="s">
        <v>1502</v>
      </c>
      <c r="B200" s="17" t="s">
        <v>1953</v>
      </c>
    </row>
    <row r="201" spans="1:2">
      <c r="A201" s="21" t="s">
        <v>1504</v>
      </c>
      <c r="B201" s="17" t="s">
        <v>1954</v>
      </c>
    </row>
    <row r="202" spans="1:2">
      <c r="A202" s="21" t="s">
        <v>1955</v>
      </c>
      <c r="B202" s="17" t="s">
        <v>1956</v>
      </c>
    </row>
    <row r="203" spans="1:2">
      <c r="A203" s="21" t="s">
        <v>1957</v>
      </c>
      <c r="B203" s="17" t="s">
        <v>1958</v>
      </c>
    </row>
    <row r="204" spans="1:2">
      <c r="A204" s="21" t="s">
        <v>1959</v>
      </c>
      <c r="B204" s="17" t="s">
        <v>1960</v>
      </c>
    </row>
    <row r="205" spans="1:2">
      <c r="A205" s="21" t="s">
        <v>1961</v>
      </c>
      <c r="B205" s="17" t="s">
        <v>1962</v>
      </c>
    </row>
    <row r="206" spans="1:2">
      <c r="A206" s="21" t="s">
        <v>1963</v>
      </c>
      <c r="B206" s="17" t="s">
        <v>1964</v>
      </c>
    </row>
    <row r="207" spans="1:2">
      <c r="A207" s="21" t="s">
        <v>1965</v>
      </c>
      <c r="B207" s="17" t="s">
        <v>1966</v>
      </c>
    </row>
    <row r="208" spans="1:2">
      <c r="A208" s="21" t="s">
        <v>1967</v>
      </c>
      <c r="B208" s="17" t="s">
        <v>1968</v>
      </c>
    </row>
    <row r="209" spans="1:2">
      <c r="A209" s="21" t="s">
        <v>1969</v>
      </c>
      <c r="B209" s="17" t="s">
        <v>1970</v>
      </c>
    </row>
    <row r="210" spans="1:2">
      <c r="A210" s="21" t="s">
        <v>1971</v>
      </c>
      <c r="B210" s="17" t="s">
        <v>1972</v>
      </c>
    </row>
    <row r="211" spans="1:2">
      <c r="A211" s="21" t="s">
        <v>1973</v>
      </c>
      <c r="B211" s="17" t="s">
        <v>1974</v>
      </c>
    </row>
    <row r="212" spans="1:2">
      <c r="A212" s="21" t="s">
        <v>1975</v>
      </c>
      <c r="B212" s="17" t="s">
        <v>1976</v>
      </c>
    </row>
    <row r="213" spans="1:2">
      <c r="A213" s="21" t="s">
        <v>1977</v>
      </c>
      <c r="B213" s="17" t="s">
        <v>1978</v>
      </c>
    </row>
    <row r="214" spans="1:2">
      <c r="A214" s="21" t="s">
        <v>1979</v>
      </c>
      <c r="B214" s="17" t="s">
        <v>1980</v>
      </c>
    </row>
    <row r="215" spans="1:2">
      <c r="A215" s="21" t="s">
        <v>1981</v>
      </c>
      <c r="B215" s="17" t="s">
        <v>1982</v>
      </c>
    </row>
    <row r="216" spans="1:2">
      <c r="A216" s="21" t="s">
        <v>1506</v>
      </c>
      <c r="B216" s="17" t="s">
        <v>1983</v>
      </c>
    </row>
    <row r="217" spans="1:2">
      <c r="A217" s="21" t="s">
        <v>1508</v>
      </c>
      <c r="B217" s="17" t="s">
        <v>1984</v>
      </c>
    </row>
    <row r="218" spans="1:2">
      <c r="A218" s="21" t="s">
        <v>1514</v>
      </c>
      <c r="B218" s="17" t="s">
        <v>1985</v>
      </c>
    </row>
    <row r="219" spans="1:2">
      <c r="A219" s="21" t="s">
        <v>1516</v>
      </c>
      <c r="B219" s="17" t="s">
        <v>1986</v>
      </c>
    </row>
    <row r="220" spans="1:2">
      <c r="A220" s="21" t="s">
        <v>1526</v>
      </c>
      <c r="B220" s="17" t="s">
        <v>1987</v>
      </c>
    </row>
    <row r="221" spans="1:2">
      <c r="A221" s="21" t="s">
        <v>1528</v>
      </c>
      <c r="B221" s="17" t="s">
        <v>1988</v>
      </c>
    </row>
    <row r="222" spans="1:2">
      <c r="A222" s="21" t="s">
        <v>1989</v>
      </c>
      <c r="B222" s="17" t="s">
        <v>1990</v>
      </c>
    </row>
    <row r="223" spans="1:2">
      <c r="A223" s="21" t="s">
        <v>1991</v>
      </c>
      <c r="B223" s="17" t="s">
        <v>1992</v>
      </c>
    </row>
    <row r="224" spans="1:2">
      <c r="A224" s="21" t="s">
        <v>1993</v>
      </c>
      <c r="B224" s="17" t="s">
        <v>1994</v>
      </c>
    </row>
    <row r="225" spans="1:2">
      <c r="A225" s="21" t="s">
        <v>1995</v>
      </c>
      <c r="B225" s="17" t="s">
        <v>1996</v>
      </c>
    </row>
    <row r="226" spans="1:2">
      <c r="A226" s="21" t="s">
        <v>1997</v>
      </c>
      <c r="B226" s="17" t="s">
        <v>1998</v>
      </c>
    </row>
    <row r="227" spans="1:2">
      <c r="A227" s="21" t="s">
        <v>1999</v>
      </c>
      <c r="B227" s="17" t="s">
        <v>2000</v>
      </c>
    </row>
    <row r="228" spans="1:2">
      <c r="A228" s="21" t="s">
        <v>2001</v>
      </c>
      <c r="B228" s="17" t="s">
        <v>2002</v>
      </c>
    </row>
    <row r="229" spans="1:2">
      <c r="A229" s="21" t="s">
        <v>2003</v>
      </c>
      <c r="B229" s="17" t="s">
        <v>2004</v>
      </c>
    </row>
    <row r="230" spans="1:2">
      <c r="A230" s="21" t="s">
        <v>2005</v>
      </c>
      <c r="B230" s="17" t="s">
        <v>2006</v>
      </c>
    </row>
    <row r="231" spans="1:2">
      <c r="A231" s="21" t="s">
        <v>1544</v>
      </c>
      <c r="B231" s="17" t="s">
        <v>2007</v>
      </c>
    </row>
    <row r="232" spans="1:2">
      <c r="A232" s="21" t="s">
        <v>1546</v>
      </c>
      <c r="B232" s="17" t="s">
        <v>2008</v>
      </c>
    </row>
    <row r="233" spans="1:2">
      <c r="A233" s="21" t="s">
        <v>1548</v>
      </c>
      <c r="B233" s="17" t="s">
        <v>2009</v>
      </c>
    </row>
    <row r="234" spans="1:2">
      <c r="A234" s="21" t="s">
        <v>2010</v>
      </c>
      <c r="B234" s="17" t="s">
        <v>2011</v>
      </c>
    </row>
    <row r="235" spans="1:2">
      <c r="A235" s="21" t="s">
        <v>2012</v>
      </c>
      <c r="B235" s="17" t="s">
        <v>2013</v>
      </c>
    </row>
    <row r="236" spans="1:2">
      <c r="A236" s="21" t="s">
        <v>2014</v>
      </c>
      <c r="B236" s="17" t="s">
        <v>2015</v>
      </c>
    </row>
    <row r="237" spans="1:2">
      <c r="A237" s="21" t="s">
        <v>2016</v>
      </c>
      <c r="B237" s="17" t="s">
        <v>2017</v>
      </c>
    </row>
    <row r="238" spans="1:2">
      <c r="A238" s="21" t="s">
        <v>2018</v>
      </c>
      <c r="B238" s="17" t="s">
        <v>2019</v>
      </c>
    </row>
    <row r="239" spans="1:2">
      <c r="A239" s="21" t="s">
        <v>1552</v>
      </c>
      <c r="B239" s="17" t="s">
        <v>2020</v>
      </c>
    </row>
    <row r="240" spans="1:2">
      <c r="A240" s="21" t="s">
        <v>1554</v>
      </c>
      <c r="B240" s="17" t="s">
        <v>2021</v>
      </c>
    </row>
    <row r="241" spans="1:2">
      <c r="A241" s="21" t="s">
        <v>1556</v>
      </c>
      <c r="B241" s="17" t="s">
        <v>2022</v>
      </c>
    </row>
    <row r="242" spans="1:2">
      <c r="A242" s="21" t="s">
        <v>2023</v>
      </c>
      <c r="B242" s="17" t="s">
        <v>2024</v>
      </c>
    </row>
    <row r="243" spans="1:2">
      <c r="A243" s="21" t="s">
        <v>2025</v>
      </c>
      <c r="B243" s="17" t="s">
        <v>2026</v>
      </c>
    </row>
    <row r="244" spans="1:2">
      <c r="A244" s="21" t="s">
        <v>2027</v>
      </c>
      <c r="B244" s="17" t="s">
        <v>2028</v>
      </c>
    </row>
    <row r="245" spans="1:2">
      <c r="A245" s="21" t="s">
        <v>2029</v>
      </c>
      <c r="B245" s="17" t="s">
        <v>2030</v>
      </c>
    </row>
    <row r="246" spans="1:2">
      <c r="A246" s="21" t="s">
        <v>1578</v>
      </c>
      <c r="B246" s="17" t="s">
        <v>2031</v>
      </c>
    </row>
    <row r="247" spans="1:2">
      <c r="A247" s="21" t="s">
        <v>1580</v>
      </c>
      <c r="B247" s="17" t="s">
        <v>2032</v>
      </c>
    </row>
    <row r="248" spans="1:2">
      <c r="A248" s="21" t="s">
        <v>1582</v>
      </c>
      <c r="B248" s="17" t="s">
        <v>2033</v>
      </c>
    </row>
    <row r="249" spans="1:2">
      <c r="A249" s="21" t="s">
        <v>2034</v>
      </c>
      <c r="B249" s="17" t="s">
        <v>2035</v>
      </c>
    </row>
    <row r="250" spans="1:2">
      <c r="A250" s="21" t="s">
        <v>2036</v>
      </c>
      <c r="B250" s="17" t="s">
        <v>2037</v>
      </c>
    </row>
    <row r="251" spans="1:2">
      <c r="A251" s="21" t="s">
        <v>2038</v>
      </c>
      <c r="B251" s="17" t="s">
        <v>2039</v>
      </c>
    </row>
    <row r="252" spans="1:2">
      <c r="A252" s="21" t="s">
        <v>2040</v>
      </c>
      <c r="B252" s="17" t="s">
        <v>2041</v>
      </c>
    </row>
    <row r="253" spans="1:2">
      <c r="A253" s="21" t="s">
        <v>2042</v>
      </c>
      <c r="B253" s="17" t="s">
        <v>2043</v>
      </c>
    </row>
    <row r="254" spans="1:2">
      <c r="A254" s="21" t="s">
        <v>2044</v>
      </c>
      <c r="B254" s="17" t="s">
        <v>2045</v>
      </c>
    </row>
    <row r="255" spans="1:2">
      <c r="A255" s="21" t="s">
        <v>2046</v>
      </c>
      <c r="B255" s="17" t="s">
        <v>2047</v>
      </c>
    </row>
    <row r="256" spans="1:2">
      <c r="A256" s="21" t="s">
        <v>2048</v>
      </c>
      <c r="B256" s="17" t="s">
        <v>2049</v>
      </c>
    </row>
    <row r="257" spans="1:2">
      <c r="A257" s="21" t="s">
        <v>2050</v>
      </c>
      <c r="B257" s="17" t="s">
        <v>2051</v>
      </c>
    </row>
    <row r="258" spans="1:2">
      <c r="A258" s="21" t="s">
        <v>2052</v>
      </c>
      <c r="B258" s="17" t="s">
        <v>2053</v>
      </c>
    </row>
    <row r="259" spans="1:2">
      <c r="A259" s="21" t="s">
        <v>2054</v>
      </c>
      <c r="B259" s="17" t="s">
        <v>2055</v>
      </c>
    </row>
    <row r="260" spans="1:2">
      <c r="A260" s="21" t="s">
        <v>2056</v>
      </c>
      <c r="B260" s="17" t="s">
        <v>2057</v>
      </c>
    </row>
    <row r="261" spans="1:2">
      <c r="A261" s="21" t="s">
        <v>2058</v>
      </c>
      <c r="B261" s="17" t="s">
        <v>2059</v>
      </c>
    </row>
    <row r="262" spans="1:2">
      <c r="A262" s="21" t="s">
        <v>2060</v>
      </c>
      <c r="B262" s="17" t="s">
        <v>2061</v>
      </c>
    </row>
    <row r="263" spans="1:2">
      <c r="A263" s="21" t="s">
        <v>2062</v>
      </c>
      <c r="B263" s="17" t="s">
        <v>2063</v>
      </c>
    </row>
    <row r="264" spans="1:2">
      <c r="A264" s="21" t="s">
        <v>2064</v>
      </c>
      <c r="B264" s="17" t="s">
        <v>2065</v>
      </c>
    </row>
    <row r="265" spans="1:2">
      <c r="A265" s="21" t="s">
        <v>1586</v>
      </c>
      <c r="B265" s="17" t="s">
        <v>2066</v>
      </c>
    </row>
    <row r="266" spans="1:2">
      <c r="A266" s="21" t="s">
        <v>2067</v>
      </c>
      <c r="B266" s="17" t="s">
        <v>2068</v>
      </c>
    </row>
    <row r="267" spans="1:2">
      <c r="A267" s="21" t="s">
        <v>1592</v>
      </c>
      <c r="B267" s="17" t="s">
        <v>2069</v>
      </c>
    </row>
    <row r="268" spans="1:2">
      <c r="A268" s="21" t="s">
        <v>1594</v>
      </c>
      <c r="B268" s="17" t="s">
        <v>2070</v>
      </c>
    </row>
    <row r="269" spans="1:2">
      <c r="A269" s="21" t="s">
        <v>1596</v>
      </c>
      <c r="B269" s="17" t="s">
        <v>2071</v>
      </c>
    </row>
    <row r="270" spans="1:2">
      <c r="A270" s="21" t="s">
        <v>1598</v>
      </c>
      <c r="B270" s="17" t="s">
        <v>2072</v>
      </c>
    </row>
    <row r="271" spans="1:2">
      <c r="A271" s="21" t="s">
        <v>1604</v>
      </c>
      <c r="B271" s="17" t="s">
        <v>2073</v>
      </c>
    </row>
    <row r="272" spans="1:2">
      <c r="A272" s="21" t="s">
        <v>1606</v>
      </c>
      <c r="B272" s="17" t="s">
        <v>2074</v>
      </c>
    </row>
    <row r="273" spans="1:2">
      <c r="A273" s="21" t="s">
        <v>1608</v>
      </c>
      <c r="B273" s="17" t="s">
        <v>2075</v>
      </c>
    </row>
    <row r="274" spans="1:2">
      <c r="A274" s="21" t="s">
        <v>1614</v>
      </c>
      <c r="B274" s="17" t="s">
        <v>2076</v>
      </c>
    </row>
    <row r="275" spans="1:2">
      <c r="A275" s="21" t="s">
        <v>1616</v>
      </c>
      <c r="B275" s="17" t="s">
        <v>2077</v>
      </c>
    </row>
    <row r="276" spans="1:2">
      <c r="A276" s="21" t="s">
        <v>1618</v>
      </c>
      <c r="B276" s="17" t="s">
        <v>2078</v>
      </c>
    </row>
    <row r="277" spans="1:2">
      <c r="A277" s="21" t="s">
        <v>1620</v>
      </c>
      <c r="B277" s="17" t="s">
        <v>2079</v>
      </c>
    </row>
    <row r="278" spans="1:2">
      <c r="A278" s="21" t="s">
        <v>2080</v>
      </c>
      <c r="B278" s="17" t="s">
        <v>2081</v>
      </c>
    </row>
    <row r="279" spans="1:2">
      <c r="A279" s="163" t="s">
        <v>1622</v>
      </c>
      <c r="B279" s="17" t="s">
        <v>1031</v>
      </c>
    </row>
  </sheetData>
  <hyperlinks>
    <hyperlink ref="C5" location="'Diseño'!$B$27" display="B3_2 *** (2 veces más)"/>
  </hyperlinks>
  <pageMargins left="0.75" right="0.75" top="1" bottom="1" header="0.5" footer="0.5"/>
  <pageSetup paperSize="1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workbookViewId="0">
      <selection activeCell="A1" sqref="A1"/>
    </sheetView>
  </sheetViews>
  <sheetFormatPr defaultColWidth="11" defaultRowHeight="12.75" outlineLevelCol="4"/>
  <cols>
    <col min="1" max="1" width="11.4285714285714" style="2"/>
    <col min="3" max="3" width="25.7142857142857" customWidth="1"/>
    <col min="5" max="5" width="12.7142857142857" customWidth="1"/>
  </cols>
  <sheetData>
    <row r="1" spans="1:5">
      <c r="A1" s="3"/>
    </row>
    <row r="4" spans="1:5">
      <c r="C4" s="4" t="s">
        <v>984</v>
      </c>
      <c r="E4" s="5" t="s">
        <v>985</v>
      </c>
    </row>
    <row r="5" spans="1:5">
      <c r="A5" s="6" t="s">
        <v>25</v>
      </c>
      <c r="B5" s="7"/>
      <c r="C5" s="8" t="s">
        <v>2082</v>
      </c>
      <c r="E5" t="s">
        <v>26</v>
      </c>
    </row>
    <row r="6" spans="1:5">
      <c r="A6" s="3" t="s">
        <v>986</v>
      </c>
      <c r="B6" s="7" t="s">
        <v>9</v>
      </c>
    </row>
    <row r="7" spans="1:5">
      <c r="A7" s="9">
        <v>999</v>
      </c>
      <c r="B7" s="7" t="s">
        <v>1031</v>
      </c>
      <c r="C7" s="7"/>
      <c r="E7" t="s">
        <v>26</v>
      </c>
    </row>
    <row r="8" spans="1:5">
      <c r="A8" s="3"/>
      <c r="B8" s="7"/>
    </row>
    <row r="9" spans="1:5">
      <c r="A9" s="6" t="s">
        <v>63</v>
      </c>
      <c r="B9" s="7"/>
      <c r="C9" s="8" t="s">
        <v>2083</v>
      </c>
      <c r="E9" t="s">
        <v>26</v>
      </c>
    </row>
    <row r="10" spans="1:5">
      <c r="A10" s="3" t="s">
        <v>986</v>
      </c>
      <c r="B10" s="7" t="s">
        <v>9</v>
      </c>
    </row>
    <row r="11" spans="1:5">
      <c r="A11" s="10">
        <v>99</v>
      </c>
      <c r="B11" s="11" t="s">
        <v>1031</v>
      </c>
      <c r="C11" s="7"/>
      <c r="E11" t="s">
        <v>26</v>
      </c>
    </row>
    <row r="12" spans="1:5">
      <c r="A12" s="3"/>
      <c r="B12" s="7"/>
    </row>
    <row r="13" s="1" customFormat="1" ht="15" spans="1:5">
      <c r="A13" s="6" t="s">
        <v>749</v>
      </c>
      <c r="B13" s="7"/>
      <c r="C13" s="8" t="s">
        <v>2084</v>
      </c>
      <c r="E13" s="1" t="s">
        <v>26</v>
      </c>
    </row>
    <row r="14" s="1" customFormat="1" ht="15" spans="1:5">
      <c r="A14" s="3" t="s">
        <v>986</v>
      </c>
      <c r="B14" s="7" t="s">
        <v>9</v>
      </c>
    </row>
    <row r="15" s="1" customFormat="1" ht="15" spans="1:5">
      <c r="A15" s="10">
        <v>9</v>
      </c>
      <c r="B15" s="12" t="s">
        <v>1031</v>
      </c>
      <c r="E15" s="1" t="s">
        <v>26</v>
      </c>
    </row>
    <row r="16" spans="1:5">
      <c r="A16" s="3"/>
      <c r="B16" s="7"/>
    </row>
    <row r="17" spans="1:5">
      <c r="A17" s="13" t="s">
        <v>422</v>
      </c>
      <c r="B17" s="14"/>
      <c r="C17" s="15" t="s">
        <v>421</v>
      </c>
      <c r="D17" s="16"/>
      <c r="E17" s="2" t="s">
        <v>26</v>
      </c>
    </row>
    <row r="18" spans="1:5">
      <c r="A18" s="3" t="s">
        <v>986</v>
      </c>
      <c r="B18" s="7" t="s">
        <v>9</v>
      </c>
      <c r="C18" s="7"/>
      <c r="D18" s="7"/>
      <c r="E18" s="2"/>
    </row>
    <row r="19" ht="13.5" customHeight="1" spans="1:5">
      <c r="A19" s="3">
        <v>1</v>
      </c>
      <c r="B19" t="s">
        <v>2085</v>
      </c>
      <c r="C19" s="7"/>
      <c r="D19" s="7"/>
      <c r="E19" s="2" t="s">
        <v>26</v>
      </c>
    </row>
    <row r="20" spans="1:5">
      <c r="A20" s="3">
        <v>7</v>
      </c>
      <c r="B20" t="s">
        <v>2086</v>
      </c>
      <c r="C20" s="7"/>
      <c r="D20" s="7"/>
      <c r="E20" s="2" t="s">
        <v>26</v>
      </c>
    </row>
    <row r="21" spans="1:5">
      <c r="A21" s="3">
        <v>9</v>
      </c>
      <c r="B21" t="s">
        <v>1031</v>
      </c>
      <c r="C21" s="7"/>
      <c r="D21" s="7"/>
      <c r="E21" s="2" t="s">
        <v>26</v>
      </c>
    </row>
    <row r="22" spans="1:5">
      <c r="A22" s="3"/>
      <c r="C22" s="7"/>
      <c r="D22" s="7"/>
      <c r="E22" s="2"/>
    </row>
    <row r="23" spans="1:5">
      <c r="A23" s="3" t="s">
        <v>426</v>
      </c>
      <c r="C23" s="8" t="s">
        <v>425</v>
      </c>
      <c r="D23" s="7"/>
      <c r="E23" s="2" t="s">
        <v>26</v>
      </c>
    </row>
    <row r="24" spans="1:5">
      <c r="A24" s="3" t="s">
        <v>986</v>
      </c>
      <c r="B24" s="7" t="s">
        <v>9</v>
      </c>
      <c r="C24" s="7"/>
      <c r="D24" s="7"/>
      <c r="E24" s="2"/>
    </row>
    <row r="25" spans="1:5">
      <c r="A25" s="3">
        <v>1</v>
      </c>
      <c r="B25" s="3" t="s">
        <v>2087</v>
      </c>
      <c r="C25" s="7"/>
      <c r="D25" s="7"/>
      <c r="E25" s="2" t="s">
        <v>26</v>
      </c>
    </row>
    <row r="26" spans="1:5">
      <c r="A26" s="3">
        <v>7</v>
      </c>
      <c r="B26" s="7" t="s">
        <v>2088</v>
      </c>
      <c r="C26" s="7"/>
      <c r="D26" s="7"/>
      <c r="E26" s="2" t="s">
        <v>26</v>
      </c>
    </row>
    <row r="27" spans="1:5">
      <c r="A27" s="3">
        <v>9</v>
      </c>
      <c r="B27" t="s">
        <v>1031</v>
      </c>
      <c r="C27" s="7"/>
      <c r="D27" s="7"/>
      <c r="E27" s="2" t="s">
        <v>26</v>
      </c>
    </row>
    <row r="28" spans="1:5">
      <c r="A28" s="3"/>
      <c r="B28" s="7"/>
      <c r="C28" s="7"/>
      <c r="D28" s="7"/>
      <c r="E28" s="2"/>
    </row>
  </sheetData>
  <hyperlinks>
    <hyperlink ref="C5" location="'Diseño'!$B$7" display="EDADa *** (11 veces más)"/>
    <hyperlink ref="C9" location="'Diseño'!$B$21" display="A3 *** (62 veces más)"/>
    <hyperlink ref="C13" location="'Diseño'!$B$331" display="O3 *** (3 veces más)"/>
    <hyperlink ref="C17" location="'Diseño'!$B$182" display="H3"/>
    <hyperlink ref="C23" location="'Diseño'!$B$183" display="H4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ine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Diseño</vt:lpstr>
      <vt:lpstr>Tablas1</vt:lpstr>
      <vt:lpstr>Tablas2</vt:lpstr>
      <vt:lpstr>Tablas3</vt:lpstr>
      <vt:lpstr>Tablas4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</dc:creator>
  <cp:lastModifiedBy>Aldana Vergara</cp:lastModifiedBy>
  <dcterms:created xsi:type="dcterms:W3CDTF">2010-07-29T08:31:00Z</dcterms:created>
  <cp:lastPrinted>2015-10-13T09:51:00Z</cp:lastPrinted>
  <dcterms:modified xsi:type="dcterms:W3CDTF">2026-08-23T22:24:55Z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576C969F84B34FFDB521F5541580C8E3_12</vt:lpwstr>
  </property>
  <property fmtid="{D5CDD505-2E9C-101B-9397-08002B2CF9AE}" pid="3" name="KSOProductBuildVer">
    <vt:lpwstr>2070-12.1.0.28032</vt:lpwstr>
  </property>
  <property fmtid="{D5CDD505-2E9C-101B-9397-08002B2CF9AE}" pid="4" name="CalculationRule">
    <vt:i4>0</vt:i4>
  </property>
</Properties>
</file>